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16.01.24" sheetId="1" state="visible" r:id="rId1"/>
    <sheet name="TEMPLATE" sheetId="2" state="visible" r:id="rId2"/>
    <sheet name="we 9.5.26" sheetId="3" state="visible" r:id="rId3"/>
    <sheet name="Log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€&quot;#,##0.00"/>
    <numFmt numFmtId="165" formatCode="&quot;€&quot;#,##0.00;[Red]\-&quot;€&quot;#,##0.00"/>
    <numFmt numFmtId="166" formatCode="[$-11809]0.00;\(0.00\)"/>
    <numFmt numFmtId="167" formatCode="&quot;€&quot;#,##0;[Red]\-&quot;€&quot;#,##0"/>
    <numFmt numFmtId="168" formatCode="_-* #,##0_-;\-* #,##0_-;_-* &quot;-&quot;??_-;_-@_-"/>
    <numFmt numFmtId="169" formatCode="0_ ;[Red]\-0\ "/>
  </numFmts>
  <fonts count="13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11"/>
      <u val="single"/>
    </font>
    <font>
      <name val="Arial"/>
      <family val="2"/>
      <b val="1"/>
      <sz val="11"/>
    </font>
    <font>
      <name val="Arial"/>
      <family val="2"/>
      <color indexed="8"/>
      <sz val="11"/>
    </font>
    <font>
      <name val="Verdana"/>
      <family val="2"/>
      <color indexed="8"/>
      <sz val="1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5" fillId="0" borderId="0"/>
    <xf numFmtId="44" fontId="5" fillId="0" borderId="0"/>
    <xf numFmtId="9" fontId="5" fillId="0" borderId="0"/>
    <xf numFmtId="0" fontId="1" fillId="0" borderId="0"/>
  </cellStyleXfs>
  <cellXfs count="2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/>
    </xf>
    <xf numFmtId="0" fontId="8" fillId="0" borderId="1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0" fontId="6" fillId="0" borderId="2" pivotButton="0" quotePrefix="0" xfId="0"/>
    <xf numFmtId="0" fontId="6" fillId="0" borderId="15" pivotButton="0" quotePrefix="0" xfId="0"/>
    <xf numFmtId="0" fontId="8" fillId="0" borderId="12" pivotButton="0" quotePrefix="0" xfId="0"/>
    <xf numFmtId="0" fontId="8" fillId="0" borderId="14" pivotButton="0" quotePrefix="0" xfId="0"/>
    <xf numFmtId="0" fontId="8" fillId="0" borderId="2" pivotButton="0" quotePrefix="0" xfId="0"/>
    <xf numFmtId="0" fontId="8" fillId="0" borderId="23" pivotButton="0" quotePrefix="0" xfId="0"/>
    <xf numFmtId="0" fontId="8" fillId="0" borderId="16" pivotButton="0" quotePrefix="0" xfId="0"/>
    <xf numFmtId="0" fontId="6" fillId="0" borderId="24" pivotButton="0" quotePrefix="0" xfId="0"/>
    <xf numFmtId="0" fontId="6" fillId="0" borderId="0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0" fontId="9" fillId="0" borderId="22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164" fontId="6" fillId="0" borderId="30" applyAlignment="1" pivotButton="0" quotePrefix="0" xfId="0">
      <alignment horizontal="center"/>
    </xf>
    <xf numFmtId="0" fontId="8" fillId="0" borderId="24" pivotButton="0" quotePrefix="0" xfId="0"/>
    <xf numFmtId="164" fontId="8" fillId="0" borderId="0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0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6" fontId="10" fillId="0" borderId="0" applyAlignment="1" applyProtection="1" pivotButton="0" quotePrefix="0" xfId="0">
      <alignment horizontal="center" vertical="top" wrapText="1" readingOrder="1"/>
      <protection locked="0" hidden="0"/>
    </xf>
    <xf numFmtId="0" fontId="4" fillId="0" borderId="0" applyAlignment="1" applyProtection="1" pivotButton="0" quotePrefix="0" xfId="0">
      <alignment horizontal="center" vertical="top" wrapText="1"/>
      <protection locked="0" hidden="0"/>
    </xf>
    <xf numFmtId="164" fontId="6" fillId="2" borderId="2" pivotButton="0" quotePrefix="0" xfId="1"/>
    <xf numFmtId="164" fontId="6" fillId="2" borderId="16" pivotButton="0" quotePrefix="0" xfId="1"/>
    <xf numFmtId="164" fontId="9" fillId="2" borderId="25" pivotButton="0" quotePrefix="0" xfId="4"/>
    <xf numFmtId="164" fontId="9" fillId="2" borderId="2" pivotButton="0" quotePrefix="0" xfId="4"/>
    <xf numFmtId="167" fontId="6" fillId="2" borderId="30" applyAlignment="1" pivotButton="0" quotePrefix="0" xfId="3">
      <alignment horizontal="center"/>
    </xf>
    <xf numFmtId="10" fontId="6" fillId="2" borderId="30" applyAlignment="1" pivotButton="0" quotePrefix="0" xfId="3">
      <alignment horizontal="center"/>
    </xf>
    <xf numFmtId="10" fontId="6" fillId="2" borderId="2" applyAlignment="1" pivotButton="0" quotePrefix="0" xfId="0">
      <alignment horizontal="center"/>
    </xf>
    <xf numFmtId="10" fontId="6" fillId="3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0" fontId="6" fillId="0" borderId="2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0" fontId="2" fillId="2" borderId="25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9" fillId="2" borderId="16" applyAlignment="1" pivotButton="0" quotePrefix="0" xfId="0">
      <alignment horizontal="center"/>
    </xf>
    <xf numFmtId="168" fontId="6" fillId="2" borderId="25" pivotButton="0" quotePrefix="0" xfId="1"/>
    <xf numFmtId="164" fontId="6" fillId="2" borderId="2" pivotButton="0" quotePrefix="0" xfId="0"/>
    <xf numFmtId="0" fontId="6" fillId="2" borderId="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8" fillId="0" borderId="22" pivotButton="0" quotePrefix="0" xfId="0"/>
    <xf numFmtId="0" fontId="8" fillId="0" borderId="22" applyAlignment="1" pivotButton="0" quotePrefix="0" xfId="0">
      <alignment horizontal="center"/>
    </xf>
    <xf numFmtId="0" fontId="8" fillId="0" borderId="22" applyAlignment="1" pivotButton="0" quotePrefix="0" xfId="0">
      <alignment horizontal="center" wrapText="1"/>
    </xf>
    <xf numFmtId="0" fontId="8" fillId="0" borderId="35" applyAlignment="1" pivotButton="0" quotePrefix="0" xfId="0">
      <alignment horizontal="center"/>
    </xf>
    <xf numFmtId="167" fontId="6" fillId="2" borderId="33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6" fillId="0" borderId="25" applyAlignment="1" pivotButton="0" quotePrefix="0" xfId="0">
      <alignment horizontal="center"/>
    </xf>
    <xf numFmtId="164" fontId="6" fillId="0" borderId="32" applyAlignment="1" pivotButton="0" quotePrefix="0" xfId="0">
      <alignment horizontal="center"/>
    </xf>
    <xf numFmtId="10" fontId="6" fillId="3" borderId="3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43" fontId="6" fillId="0" borderId="0" applyAlignment="1" pivotButton="0" quotePrefix="0" xfId="1">
      <alignment horizontal="center"/>
    </xf>
    <xf numFmtId="0" fontId="6" fillId="0" borderId="2" applyAlignment="1" pivotButton="0" quotePrefix="1" xfId="0">
      <alignment horizontal="center"/>
    </xf>
    <xf numFmtId="0" fontId="6" fillId="3" borderId="0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0" fontId="4" fillId="4" borderId="0" applyAlignment="1" applyProtection="1" pivotButton="0" quotePrefix="0" xfId="0">
      <alignment horizontal="center" vertical="top" wrapText="1"/>
      <protection locked="0" hidden="0"/>
    </xf>
    <xf numFmtId="165" fontId="8" fillId="4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165" fontId="8" fillId="4" borderId="36" applyAlignment="1" pivotButton="0" quotePrefix="0" xfId="0">
      <alignment horizontal="center"/>
    </xf>
    <xf numFmtId="0" fontId="8" fillId="4" borderId="36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0" fontId="8" fillId="0" borderId="18" pivotButton="0" quotePrefix="0" xfId="0"/>
    <xf numFmtId="0" fontId="8" fillId="0" borderId="19" pivotButton="0" quotePrefix="0" xfId="0"/>
    <xf numFmtId="164" fontId="8" fillId="0" borderId="19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8" fillId="0" borderId="28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0" fontId="8" fillId="0" borderId="23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5" fontId="8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4" fontId="9" fillId="0" borderId="25" applyAlignment="1" pivotButton="0" quotePrefix="0" xfId="4">
      <alignment horizontal="center"/>
    </xf>
    <xf numFmtId="164" fontId="6" fillId="0" borderId="25" applyAlignment="1" pivotButton="0" quotePrefix="0" xfId="1">
      <alignment horizontal="center"/>
    </xf>
    <xf numFmtId="167" fontId="6" fillId="2" borderId="31" applyAlignment="1" pivotButton="0" quotePrefix="0" xfId="0">
      <alignment horizontal="center"/>
    </xf>
    <xf numFmtId="0" fontId="6" fillId="2" borderId="2" pivotButton="0" quotePrefix="0" xfId="0"/>
    <xf numFmtId="0" fontId="6" fillId="0" borderId="16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6" fillId="0" borderId="25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0" borderId="2" applyAlignment="1" pivotButton="0" quotePrefix="0" xfId="0">
      <alignment horizontal="center"/>
    </xf>
    <xf numFmtId="164" fontId="6" fillId="0" borderId="2" applyAlignment="1" pivotButton="0" quotePrefix="0" xfId="1">
      <alignment horizontal="center"/>
    </xf>
    <xf numFmtId="164" fontId="6" fillId="3" borderId="16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0" fontId="8" fillId="0" borderId="1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3" fillId="2" borderId="5" applyAlignment="1" pivotButton="0" quotePrefix="0" xfId="0">
      <alignment horizontal="left"/>
    </xf>
    <xf numFmtId="0" fontId="3" fillId="2" borderId="6" applyAlignment="1" pivotButton="0" quotePrefix="0" xfId="0">
      <alignment horizontal="left"/>
    </xf>
    <xf numFmtId="0" fontId="3" fillId="2" borderId="7" applyAlignment="1" pivotButton="0" quotePrefix="0" xfId="0">
      <alignment horizontal="left"/>
    </xf>
    <xf numFmtId="0" fontId="8" fillId="0" borderId="18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8" fillId="0" borderId="34" applyAlignment="1" pivotButton="0" quotePrefix="0" xfId="0">
      <alignment horizontal="center"/>
    </xf>
    <xf numFmtId="0" fontId="8" fillId="0" borderId="2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11" applyAlignment="1" pivotButton="0" quotePrefix="0" xfId="0">
      <alignment horizontal="center"/>
    </xf>
    <xf numFmtId="0" fontId="8" fillId="0" borderId="24" applyAlignment="1" pivotButton="0" quotePrefix="0" xfId="0">
      <alignment horizontal="center"/>
    </xf>
    <xf numFmtId="0" fontId="8" fillId="0" borderId="3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6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6" fillId="2" borderId="11" applyAlignment="1" pivotButton="0" quotePrefix="0" xfId="0">
      <alignment horizontal="center"/>
    </xf>
    <xf numFmtId="14" fontId="6" fillId="2" borderId="1" applyAlignment="1" pivotButton="0" quotePrefix="0" xfId="0">
      <alignment horizontal="center"/>
    </xf>
    <xf numFmtId="14" fontId="6" fillId="2" borderId="11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0" fontId="8" fillId="0" borderId="27" applyAlignment="1" pivotButton="0" quotePrefix="0" xfId="0">
      <alignment horizontal="center"/>
    </xf>
    <xf numFmtId="0" fontId="8" fillId="0" borderId="8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0" fontId="8" fillId="0" borderId="10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6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6" fillId="0" borderId="32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6" fillId="0" borderId="27" applyAlignment="1" pivotButton="0" quotePrefix="0" xfId="0">
      <alignment horizontal="center"/>
    </xf>
    <xf numFmtId="0" fontId="6" fillId="0" borderId="28" applyAlignment="1" pivotButton="0" quotePrefix="0" xfId="0">
      <alignment horizontal="center"/>
    </xf>
    <xf numFmtId="0" fontId="6" fillId="0" borderId="29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3" fillId="2" borderId="22" applyAlignment="1" pivotButton="0" quotePrefix="0" xfId="0">
      <alignment horizontal="left"/>
    </xf>
    <xf numFmtId="0" fontId="0" fillId="0" borderId="6" pivotButton="0" quotePrefix="0" xfId="0"/>
    <xf numFmtId="0" fontId="0" fillId="0" borderId="7" pivotButton="0" quotePrefix="0" xfId="0"/>
    <xf numFmtId="0" fontId="0" fillId="0" borderId="48" pivotButton="0" quotePrefix="0" xfId="0"/>
    <xf numFmtId="0" fontId="0" fillId="0" borderId="11" pivotButton="0" quotePrefix="0" xfId="0"/>
    <xf numFmtId="0" fontId="0" fillId="0" borderId="51" pivotButton="0" quotePrefix="0" xfId="0"/>
    <xf numFmtId="167" fontId="6" fillId="2" borderId="33" applyAlignment="1" pivotButton="0" quotePrefix="0" xfId="0">
      <alignment horizontal="center"/>
    </xf>
    <xf numFmtId="0" fontId="0" fillId="0" borderId="42" pivotButton="0" quotePrefix="0" xfId="0"/>
    <xf numFmtId="164" fontId="6" fillId="0" borderId="30" applyAlignment="1" pivotButton="0" quotePrefix="0" xfId="0">
      <alignment horizontal="center"/>
    </xf>
    <xf numFmtId="167" fontId="6" fillId="2" borderId="30" applyAlignment="1" pivotButton="0" quotePrefix="0" xfId="3">
      <alignment horizontal="center"/>
    </xf>
    <xf numFmtId="0" fontId="0" fillId="0" borderId="43" pivotButton="0" quotePrefix="0" xfId="0"/>
    <xf numFmtId="167" fontId="6" fillId="2" borderId="31" applyAlignment="1" pivotButton="0" quotePrefix="0" xfId="0">
      <alignment horizontal="center"/>
    </xf>
    <xf numFmtId="164" fontId="9" fillId="2" borderId="25" pivotButton="0" quotePrefix="0" xfId="4"/>
    <xf numFmtId="164" fontId="6" fillId="0" borderId="25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9" fillId="0" borderId="25" applyAlignment="1" pivotButton="0" quotePrefix="0" xfId="4">
      <alignment horizontal="center"/>
    </xf>
    <xf numFmtId="164" fontId="6" fillId="0" borderId="3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164" fontId="9" fillId="2" borderId="2" pivotButton="0" quotePrefix="0" xfId="4"/>
    <xf numFmtId="164" fontId="6" fillId="0" borderId="2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0" borderId="25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164" fontId="6" fillId="2" borderId="2" pivotButton="0" quotePrefix="0" xfId="1"/>
    <xf numFmtId="164" fontId="6" fillId="0" borderId="2" applyAlignment="1" pivotButton="0" quotePrefix="0" xfId="1">
      <alignment horizontal="center"/>
    </xf>
    <xf numFmtId="164" fontId="6" fillId="2" borderId="16" pivotButton="0" quotePrefix="0" xfId="1"/>
    <xf numFmtId="164" fontId="6" fillId="3" borderId="16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165" fontId="8" fillId="4" borderId="2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0" fontId="0" fillId="0" borderId="46" pivotButton="0" quotePrefix="0" xfId="0"/>
    <xf numFmtId="0" fontId="0" fillId="0" borderId="47" pivotButton="0" quotePrefix="0" xfId="0"/>
    <xf numFmtId="43" fontId="6" fillId="0" borderId="0" applyAlignment="1" pivotButton="0" quotePrefix="0" xfId="1">
      <alignment horizontal="center"/>
    </xf>
    <xf numFmtId="164" fontId="8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65" fontId="8" fillId="2" borderId="2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4" fontId="8" fillId="0" borderId="19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168" fontId="6" fillId="2" borderId="25" pivotButton="0" quotePrefix="0" xfId="1"/>
    <xf numFmtId="0" fontId="6" fillId="0" borderId="26" applyAlignment="1" pivotButton="0" quotePrefix="0" xfId="0">
      <alignment horizontal="center"/>
    </xf>
    <xf numFmtId="0" fontId="0" fillId="0" borderId="1" pivotButton="0" quotePrefix="0" xfId="0"/>
    <xf numFmtId="165" fontId="6" fillId="0" borderId="0" applyAlignment="1" pivotButton="0" quotePrefix="0" xfId="0">
      <alignment horizontal="center"/>
    </xf>
    <xf numFmtId="164" fontId="6" fillId="2" borderId="2" pivotButton="0" quotePrefix="0" xfId="0"/>
    <xf numFmtId="0" fontId="6" fillId="0" borderId="13" applyAlignment="1" pivotButton="0" quotePrefix="0" xfId="0">
      <alignment horizontal="center"/>
    </xf>
    <xf numFmtId="0" fontId="0" fillId="0" borderId="4" pivotButton="0" quotePrefix="0" xfId="0"/>
    <xf numFmtId="0" fontId="0" fillId="0" borderId="21" pivotButton="0" quotePrefix="0" xfId="0"/>
    <xf numFmtId="165" fontId="8" fillId="4" borderId="36" applyAlignment="1" pivotButton="0" quotePrefix="0" xfId="0">
      <alignment horizontal="center"/>
    </xf>
    <xf numFmtId="0" fontId="6" fillId="0" borderId="37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</cellXfs>
  <cellStyles count="5">
    <cellStyle name="Normal" xfId="0" builtinId="0"/>
    <cellStyle name="Comma" xfId="1" builtinId="3"/>
    <cellStyle name="Currency" xfId="2" builtinId="4"/>
    <cellStyle name="Percent" xfId="3" builtinId="5"/>
    <cellStyle name="Normal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2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3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C16" sqref="C16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 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 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 t="n">
        <v>0</v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0</v>
      </c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0</v>
      </c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0</v>
      </c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0</v>
      </c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0</v>
      </c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0</v>
      </c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0</v>
      </c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0</v>
      </c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0</v>
      </c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tabSelected="1" topLeftCell="A10" workbookViewId="0">
      <selection activeCell="B25" sqref="B25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A1" sqref="A1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>
        <v>378997.66</v>
      </c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>
        <v>348702.09447</v>
      </c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>
        <v>0.167255315941378</v>
      </c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>
        <v>7470.97584</v>
      </c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>
        <v>0.128334855979302</v>
      </c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/>
      <c r="E16" s="168" t="n">
        <v>12623.25</v>
      </c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>
        <v>0.200804489155919</v>
      </c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/>
      <c r="E17" s="168" t="n">
        <v>1583.68</v>
      </c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>
        <v>0.24921000088739</v>
      </c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/>
      <c r="E18" s="168" t="n">
        <v>1519.64</v>
      </c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>
        <v>0.188586862195859</v>
      </c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/>
      <c r="E19" s="168" t="n">
        <v>1153.34</v>
      </c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>
        <v>0.114740707259225</v>
      </c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/>
      <c r="E20" s="168" t="n">
        <v>25441.86</v>
      </c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>
        <v>0.169512407803833</v>
      </c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/>
      <c r="E21" s="168" t="n">
        <v>5301.2</v>
      </c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>
        <v>0.186095591520898</v>
      </c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/>
      <c r="E22" s="168" t="n">
        <v>40229.73338</v>
      </c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>
        <v>0.181847877842892</v>
      </c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>
        <v>8801.773020000001</v>
      </c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>
        <v>0.415170069097823</v>
      </c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/>
      <c r="E24" s="168" t="n">
        <v>26988.62</v>
      </c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>
        <v>0.192291567594521</v>
      </c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>
        <v>155.196</v>
      </c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>
        <v>341.611</v>
      </c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>
        <v>25.715</v>
      </c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>
        <v>124.37</v>
      </c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>
        <v>40.081</v>
      </c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>
        <v>21.123</v>
      </c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>
        <v>1125.52</v>
      </c>
      <c r="J37" s="27" t="n"/>
    </row>
    <row r="38">
      <c r="E38" s="182" t="n"/>
      <c r="F38" s="182" t="n"/>
      <c r="H38" s="27" t="inlineStr">
        <is>
          <t>D0033 - Meat , Poultry , Fish</t>
        </is>
      </c>
      <c r="I38" s="162" t="n">
        <v>776.484</v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>
        <v>135.377</v>
      </c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>
        <v>159.659</v>
      </c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>
        <v>116.996</v>
      </c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>
        <v>47.738</v>
      </c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>
        <v>80.79000000000001</v>
      </c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>
        <v>1011.007</v>
      </c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>
        <v>351.049</v>
      </c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>
        <v>674.5</v>
      </c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>
        <v>1279.765</v>
      </c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>
        <v>1394.61</v>
      </c>
      <c r="J48" s="27" t="n"/>
    </row>
    <row r="49">
      <c r="E49" s="203" t="n"/>
      <c r="F49" s="203" t="n"/>
      <c r="H49" s="27" t="inlineStr">
        <is>
          <t>D0038 - Frozen Foods</t>
        </is>
      </c>
      <c r="I49" s="189" t="n">
        <v>162.22</v>
      </c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P&amp;L Build Log - Week Ending 2026-05-09</t>
        </is>
      </c>
    </row>
    <row r="2">
      <c r="A2" t="inlineStr">
        <is>
          <t>Downloaded STOCKTAKE: C:\Users\halpi\OneDrive\Desktop\PNL\exports\2026-05-09\stocktake\Stocktake_2026-05-09.xlsx</t>
        </is>
      </c>
    </row>
    <row r="3">
      <c r="A3" t="inlineStr">
        <is>
          <t>Downloaded OPR_STANDARD_WEEK: C:\Users\halpi\OneDrive\Desktop\PNL\exports\2026-05-09\opr_standard\OPR_Standard_WEEK_2026-05-09.xlsx</t>
        </is>
      </c>
    </row>
    <row r="4">
      <c r="A4" t="inlineStr">
        <is>
          <t>Downloaded OPR_STANDARD_DAY: C:\Users\halpi\OneDrive\Desktop\PNL\exports\2026-05-09\opr_standard\OPR_Standard_DAY_2026-05-09.xlsx</t>
        </is>
      </c>
    </row>
    <row r="5">
      <c r="A5" t="inlineStr">
        <is>
          <t>Downloaded OPR_STANDARD_SAT: C:\Users\halpi\OneDrive\Desktop\PNL\exports\2026-05-09\opr_standard\OPR_Standard_SAT_2026-05-09.xlsx</t>
        </is>
      </c>
    </row>
    <row r="6">
      <c r="A6" t="inlineStr">
        <is>
          <t>Downloaded OPR_MEAT_WEEK: C:\Users\halpi\OneDrive\Desktop\PNL\exports\2026-05-09\opr_meat\OPR_Meat_WEEK_2026-05-09.xlsx</t>
        </is>
      </c>
    </row>
    <row r="7">
      <c r="A7" t="inlineStr">
        <is>
          <t>Downloaded OPR_MEAT_DAY: C:\Users\halpi\OneDrive\Desktop\PNL\exports\2026-05-09\opr_meat\OPR_Meat_DAY_2026-05-09.xlsx</t>
        </is>
      </c>
    </row>
    <row r="8">
      <c r="A8" t="inlineStr">
        <is>
          <t>Downloaded OPR_MEAT_SAT: C:\Users\halpi\OneDrive\Desktop\PNL\exports\2026-05-09\opr_meat\OPR_Meat_SAT_2026-05-09.xlsx</t>
        </is>
      </c>
    </row>
    <row r="9">
      <c r="A9" t="inlineStr">
        <is>
          <t>Downloaded WASTE_WEEK: C:\Users\halpi\OneDrive\Desktop\PNL\exports\2026-05-09\waste\Waste_WEEK_2026-05-09.xlsx</t>
        </is>
      </c>
    </row>
    <row r="10">
      <c r="A10" t="inlineStr">
        <is>
          <t>Downloaded WASTE_DAY: C:\Users\halpi\OneDrive\Desktop\PNL\exports\2026-05-09\waste\Waste_DAY_2026-05-09.xlsx</t>
        </is>
      </c>
    </row>
    <row r="12">
      <c r="A12" t="inlineStr">
        <is>
          <t>INFO: No Supabase key - purchases skipped</t>
        </is>
      </c>
    </row>
    <row r="13">
      <c r="A13" t="inlineStr">
        <is>
          <t>INFO: Previous sheet not found: we 2.5.26</t>
        </is>
      </c>
    </row>
    <row r="14">
      <c r="A14" t="inlineStr">
        <is>
          <t>OK OPR std: Cigarettes = 7470.98 row 13</t>
        </is>
      </c>
    </row>
    <row r="15">
      <c r="A15" t="inlineStr">
        <is>
          <t>OK OPR std: Produce = 40229.73 row 22</t>
        </is>
      </c>
    </row>
    <row r="16">
      <c r="A16" t="inlineStr">
        <is>
          <t>OK OPR std: Deli = 8801.77 row 23</t>
        </is>
      </c>
    </row>
    <row r="17">
      <c r="A17" t="inlineStr">
        <is>
          <t>OK OPR std: Provisions = 26988.62 row 24</t>
        </is>
      </c>
    </row>
    <row r="18">
      <c r="A18" t="inlineStr">
        <is>
          <t>OK OPR meat: Beef = 12623.25 row 16</t>
        </is>
      </c>
    </row>
    <row r="19">
      <c r="A19" t="inlineStr">
        <is>
          <t>OK OPR meat: Lamb = 1583.68 row 17</t>
        </is>
      </c>
    </row>
    <row r="20">
      <c r="A20" t="inlineStr">
        <is>
          <t>OK OPR meat: Pork = 1519.64 row 18</t>
        </is>
      </c>
    </row>
    <row r="21">
      <c r="A21" t="inlineStr">
        <is>
          <t>OK OPR meat: Bacon &amp; Loose S.R.P = 1153.34 row 19</t>
        </is>
      </c>
    </row>
    <row r="22">
      <c r="A22" t="inlineStr">
        <is>
          <t>OK OPR meat: Poultry = 25441.86 row 20</t>
        </is>
      </c>
    </row>
    <row r="23">
      <c r="A23" t="inlineStr">
        <is>
          <t>OK OPR meat: Fish = 5301.20 row 21</t>
        </is>
      </c>
    </row>
    <row r="24">
      <c r="A24" t="inlineStr">
        <is>
          <t>OK waste: grocery_impulse = 155.20 row 30</t>
        </is>
      </c>
    </row>
    <row r="25">
      <c r="A25" t="inlineStr">
        <is>
          <t>OK waste: grocery_edible = 341.61 row 31</t>
        </is>
      </c>
    </row>
    <row r="26">
      <c r="A26" t="inlineStr">
        <is>
          <t>OK waste: grocery_non_food = 25.71 row 32</t>
        </is>
      </c>
    </row>
    <row r="27">
      <c r="A27" t="inlineStr">
        <is>
          <t>OK waste: baby_kids = 124.37 row 33</t>
        </is>
      </c>
    </row>
    <row r="28">
      <c r="A28" t="inlineStr">
        <is>
          <t>OK waste: personal_care = 40.08 row 34</t>
        </is>
      </c>
    </row>
    <row r="29">
      <c r="A29" t="inlineStr">
        <is>
          <t>OK waste: beer_wine_spirits = 21.12 row 35</t>
        </is>
      </c>
    </row>
    <row r="30">
      <c r="A30" t="inlineStr">
        <is>
          <t>OK waste: Produce = 1125.52 row 37</t>
        </is>
      </c>
    </row>
    <row r="31">
      <c r="A31" t="inlineStr">
        <is>
          <t>OK waste: meat_total = 776.48 row 38</t>
        </is>
      </c>
    </row>
    <row r="32">
      <c r="A32" t="inlineStr">
        <is>
          <t>OK waste: Fish = 1011.01 row 44</t>
        </is>
      </c>
    </row>
    <row r="33">
      <c r="A33" t="inlineStr">
        <is>
          <t>OK waste: Bacon = 47.74 row 42</t>
        </is>
      </c>
    </row>
    <row r="34">
      <c r="A34" t="inlineStr">
        <is>
          <t>OK waste: dairy = 351.05 row 45</t>
        </is>
      </c>
    </row>
    <row r="35">
      <c r="A35" t="inlineStr">
        <is>
          <t>OK waste: bread_cakes = 674.50 row 46</t>
        </is>
      </c>
    </row>
    <row r="36">
      <c r="A36" t="inlineStr">
        <is>
          <t>OK waste: Deli = 1279.76 row 47</t>
        </is>
      </c>
    </row>
    <row r="37">
      <c r="A37" t="inlineStr">
        <is>
          <t>OK waste: Provisions = 1394.61 row 48</t>
        </is>
      </c>
    </row>
    <row r="38">
      <c r="A38" t="inlineStr">
        <is>
          <t>OK waste: frozen = 162.22 row 49</t>
        </is>
      </c>
    </row>
    <row r="39">
      <c r="A39" t="inlineStr">
        <is>
          <t>OK waste: Beef = 135.38 row 39</t>
        </is>
      </c>
    </row>
    <row r="40">
      <c r="A40" t="inlineStr">
        <is>
          <t>OK waste: Lamb = 159.66 row 40</t>
        </is>
      </c>
    </row>
    <row r="41">
      <c r="A41" t="inlineStr">
        <is>
          <t>OK waste: Pork = 117.00 row 41</t>
        </is>
      </c>
    </row>
    <row r="42">
      <c r="A42" t="inlineStr">
        <is>
          <t>OK waste: Poultry = 80.79 row 43</t>
        </is>
      </c>
    </row>
    <row r="43">
      <c r="A43" t="inlineStr">
        <is>
          <t>Stocktake error: name 'extract_stocktake_closing_by_dept' is not defined</t>
        </is>
      </c>
    </row>
    <row r="44">
      <c r="A44" t="inlineStr">
        <is>
          <t>OK sales inc vat G4: 378997.66</t>
        </is>
      </c>
    </row>
    <row r="45">
      <c r="A45" t="inlineStr">
        <is>
          <t>OK sales ex vat G5: 348702.09</t>
        </is>
      </c>
    </row>
    <row r="46">
      <c r="A46" t="inlineStr">
        <is>
          <t>OK margin G6: 0.1673</t>
        </is>
      </c>
    </row>
    <row r="47">
      <c r="A47" t="inlineStr">
        <is>
          <t>OK scan margin std row 13: 0.13</t>
        </is>
      </c>
    </row>
    <row r="48">
      <c r="A48" t="inlineStr">
        <is>
          <t>OK scan margin std row 22: 0.18</t>
        </is>
      </c>
    </row>
    <row r="49">
      <c r="A49" t="inlineStr">
        <is>
          <t>OK scan margin std row 23: 0.42</t>
        </is>
      </c>
    </row>
    <row r="50">
      <c r="A50" t="inlineStr">
        <is>
          <t>OK scan margin std row 24: 0.19</t>
        </is>
      </c>
    </row>
    <row r="51">
      <c r="A51" t="inlineStr">
        <is>
          <t>OK scan margin meat row 16: 0.20</t>
        </is>
      </c>
    </row>
    <row r="52">
      <c r="A52" t="inlineStr">
        <is>
          <t>OK scan margin meat row 17: 0.25</t>
        </is>
      </c>
    </row>
    <row r="53">
      <c r="A53" t="inlineStr">
        <is>
          <t>OK scan margin meat row 18: 0.19</t>
        </is>
      </c>
    </row>
    <row r="54">
      <c r="A54" t="inlineStr">
        <is>
          <t>OK scan margin meat row 19: 0.11</t>
        </is>
      </c>
    </row>
    <row r="55">
      <c r="A55" t="inlineStr">
        <is>
          <t>OK scan margin meat row 20: 0.17</t>
        </is>
      </c>
    </row>
    <row r="56">
      <c r="A56" t="inlineStr">
        <is>
          <t>OK scan margin meat row 21: 0.19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Authorised</dc:creator>
  <dcterms:created xsi:type="dcterms:W3CDTF">2007-10-03T18:12:54Z</dcterms:created>
  <dcterms:modified xsi:type="dcterms:W3CDTF">2026-05-12T14:50:21Z</dcterms:modified>
  <cp:lastModifiedBy>424SKERRIESAD Admin</cp:lastModifiedBy>
  <cp:lastPrinted>2018-11-01T09:39:59Z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0x010100A0BBBD93967A6540B09C066FA8927728</vt:lpwstr>
  </property>
</Properties>
</file>