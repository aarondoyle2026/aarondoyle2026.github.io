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16.01.24" sheetId="1" state="visible" r:id="rId1"/>
    <sheet name="TEMPLATE" sheetId="2" state="visible" r:id="rId2"/>
    <sheet name="we 27.6.26" sheetId="3" state="visible" r:id="rId3"/>
    <sheet name="Log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€&quot;#,##0.00"/>
    <numFmt numFmtId="165" formatCode="&quot;€&quot;#,##0.00;[Red]\-&quot;€&quot;#,##0.00"/>
    <numFmt numFmtId="166" formatCode="[$-11809]0.00;\(0.00\)"/>
    <numFmt numFmtId="167" formatCode="&quot;€&quot;#,##0;[Red]\-&quot;€&quot;#,##0"/>
    <numFmt numFmtId="168" formatCode="_-* #,##0_-;\-* #,##0_-;_-* &quot;-&quot;??_-;_-@_-"/>
    <numFmt numFmtId="169" formatCode="0_ ;[Red]\-0\ "/>
  </numFmts>
  <fonts count="13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8"/>
    </font>
    <font>
      <name val="Arial"/>
      <family val="2"/>
      <sz val="10"/>
    </font>
    <font>
      <name val="Arial"/>
      <family val="2"/>
      <sz val="11"/>
    </font>
    <font>
      <name val="Arial"/>
      <family val="2"/>
      <b val="1"/>
      <sz val="11"/>
      <u val="single"/>
    </font>
    <font>
      <name val="Arial"/>
      <family val="2"/>
      <b val="1"/>
      <sz val="11"/>
    </font>
    <font>
      <name val="Arial"/>
      <family val="2"/>
      <color indexed="8"/>
      <sz val="11"/>
    </font>
    <font>
      <name val="Verdana"/>
      <family val="2"/>
      <color indexed="8"/>
      <sz val="18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5" fillId="0" borderId="0"/>
    <xf numFmtId="44" fontId="5" fillId="0" borderId="0"/>
    <xf numFmtId="9" fontId="5" fillId="0" borderId="0"/>
    <xf numFmtId="0" fontId="1" fillId="0" borderId="0"/>
  </cellStyleXfs>
  <cellXfs count="216">
    <xf numFmtId="0" fontId="0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1" pivotButton="0" quotePrefix="0" xfId="0"/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8" fillId="0" borderId="1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164" fontId="6" fillId="3" borderId="2" applyAlignment="1" pivotButton="0" quotePrefix="0" xfId="0">
      <alignment horizontal="center"/>
    </xf>
    <xf numFmtId="0" fontId="6" fillId="0" borderId="2" pivotButton="0" quotePrefix="0" xfId="0"/>
    <xf numFmtId="0" fontId="6" fillId="0" borderId="15" pivotButton="0" quotePrefix="0" xfId="0"/>
    <xf numFmtId="0" fontId="8" fillId="0" borderId="12" pivotButton="0" quotePrefix="0" xfId="0"/>
    <xf numFmtId="0" fontId="8" fillId="0" borderId="14" pivotButton="0" quotePrefix="0" xfId="0"/>
    <xf numFmtId="0" fontId="8" fillId="0" borderId="2" pivotButton="0" quotePrefix="0" xfId="0"/>
    <xf numFmtId="0" fontId="8" fillId="0" borderId="23" pivotButton="0" quotePrefix="0" xfId="0"/>
    <xf numFmtId="0" fontId="8" fillId="0" borderId="16" pivotButton="0" quotePrefix="0" xfId="0"/>
    <xf numFmtId="0" fontId="6" fillId="0" borderId="24" pivotButton="0" quotePrefix="0" xfId="0"/>
    <xf numFmtId="0" fontId="6" fillId="0" borderId="0" applyAlignment="1" pivotButton="0" quotePrefix="0" xfId="0">
      <alignment horizontal="center"/>
    </xf>
    <xf numFmtId="164" fontId="6" fillId="3" borderId="0" applyAlignment="1" pivotButton="0" quotePrefix="0" xfId="2">
      <alignment horizontal="center"/>
    </xf>
    <xf numFmtId="0" fontId="9" fillId="0" borderId="22" applyAlignment="1" pivotButton="0" quotePrefix="0" xfId="0">
      <alignment horizontal="center"/>
    </xf>
    <xf numFmtId="0" fontId="8" fillId="0" borderId="5" pivotButton="0" quotePrefix="0" xfId="0"/>
    <xf numFmtId="0" fontId="8" fillId="0" borderId="6" pivotButton="0" quotePrefix="0" xfId="0"/>
    <xf numFmtId="164" fontId="6" fillId="0" borderId="30" applyAlignment="1" pivotButton="0" quotePrefix="0" xfId="0">
      <alignment horizontal="center"/>
    </xf>
    <xf numFmtId="0" fontId="8" fillId="0" borderId="24" pivotButton="0" quotePrefix="0" xfId="0"/>
    <xf numFmtId="164" fontId="8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165" fontId="6" fillId="0" borderId="2" applyAlignment="1" pivotButton="0" quotePrefix="0" xfId="0">
      <alignment horizontal="center"/>
    </xf>
    <xf numFmtId="1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6" fontId="10" fillId="0" borderId="0" applyAlignment="1" applyProtection="1" pivotButton="0" quotePrefix="0" xfId="0">
      <alignment horizontal="center" vertical="top" wrapText="1" readingOrder="1"/>
      <protection locked="0" hidden="0"/>
    </xf>
    <xf numFmtId="0" fontId="4" fillId="0" borderId="0" applyAlignment="1" applyProtection="1" pivotButton="0" quotePrefix="0" xfId="0">
      <alignment horizontal="center" vertical="top" wrapText="1"/>
      <protection locked="0" hidden="0"/>
    </xf>
    <xf numFmtId="164" fontId="6" fillId="2" borderId="2" pivotButton="0" quotePrefix="0" xfId="1"/>
    <xf numFmtId="164" fontId="6" fillId="2" borderId="16" pivotButton="0" quotePrefix="0" xfId="1"/>
    <xf numFmtId="164" fontId="9" fillId="2" borderId="25" pivotButton="0" quotePrefix="0" xfId="4"/>
    <xf numFmtId="164" fontId="9" fillId="2" borderId="2" pivotButton="0" quotePrefix="0" xfId="4"/>
    <xf numFmtId="167" fontId="6" fillId="2" borderId="30" applyAlignment="1" pivotButton="0" quotePrefix="0" xfId="3">
      <alignment horizontal="center"/>
    </xf>
    <xf numFmtId="10" fontId="6" fillId="2" borderId="30" applyAlignment="1" pivotButton="0" quotePrefix="0" xfId="3">
      <alignment horizontal="center"/>
    </xf>
    <xf numFmtId="10" fontId="6" fillId="2" borderId="2" applyAlignment="1" pivotButton="0" quotePrefix="0" xfId="0">
      <alignment horizontal="center"/>
    </xf>
    <xf numFmtId="10" fontId="6" fillId="3" borderId="2" applyAlignment="1" pivotButton="0" quotePrefix="0" xfId="0">
      <alignment horizontal="center"/>
    </xf>
    <xf numFmtId="165" fontId="6" fillId="3" borderId="2" applyAlignment="1" pivotButton="0" quotePrefix="0" xfId="0">
      <alignment horizontal="center"/>
    </xf>
    <xf numFmtId="10" fontId="6" fillId="0" borderId="2" applyAlignment="1" pivotButton="0" quotePrefix="0" xfId="0">
      <alignment horizontal="center"/>
    </xf>
    <xf numFmtId="164" fontId="6" fillId="2" borderId="25" applyAlignment="1" pivotButton="0" quotePrefix="0" xfId="0">
      <alignment horizontal="center"/>
    </xf>
    <xf numFmtId="164" fontId="6" fillId="2" borderId="2" applyAlignment="1" pivotButton="0" quotePrefix="0" xfId="0">
      <alignment horizontal="center"/>
    </xf>
    <xf numFmtId="164" fontId="6" fillId="2" borderId="16" applyAlignment="1" pivotButton="0" quotePrefix="0" xfId="0">
      <alignment horizontal="center"/>
    </xf>
    <xf numFmtId="0" fontId="2" fillId="2" borderId="25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9" fillId="2" borderId="16" applyAlignment="1" pivotButton="0" quotePrefix="0" xfId="0">
      <alignment horizontal="center"/>
    </xf>
    <xf numFmtId="168" fontId="6" fillId="2" borderId="25" pivotButton="0" quotePrefix="0" xfId="1"/>
    <xf numFmtId="164" fontId="6" fillId="2" borderId="2" pivotButton="0" quotePrefix="0" xfId="0"/>
    <xf numFmtId="0" fontId="6" fillId="2" borderId="2" applyAlignment="1" pivotButton="0" quotePrefix="0" xfId="0">
      <alignment horizontal="center"/>
    </xf>
    <xf numFmtId="165" fontId="9" fillId="0" borderId="22" applyAlignment="1" pivotButton="0" quotePrefix="0" xfId="0">
      <alignment horizontal="center"/>
    </xf>
    <xf numFmtId="165" fontId="6" fillId="2" borderId="2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0" fontId="8" fillId="0" borderId="22" pivotButton="0" quotePrefix="0" xfId="0"/>
    <xf numFmtId="0" fontId="8" fillId="0" borderId="22" applyAlignment="1" pivotButton="0" quotePrefix="0" xfId="0">
      <alignment horizontal="center"/>
    </xf>
    <xf numFmtId="0" fontId="8" fillId="0" borderId="22" applyAlignment="1" pivotButton="0" quotePrefix="0" xfId="0">
      <alignment horizontal="center" wrapText="1"/>
    </xf>
    <xf numFmtId="0" fontId="8" fillId="0" borderId="35" applyAlignment="1" pivotButton="0" quotePrefix="0" xfId="0">
      <alignment horizontal="center"/>
    </xf>
    <xf numFmtId="167" fontId="6" fillId="2" borderId="33" applyAlignment="1" pivotButton="0" quotePrefix="0" xfId="0">
      <alignment horizontal="center"/>
    </xf>
    <xf numFmtId="164" fontId="9" fillId="2" borderId="25" applyAlignment="1" pivotButton="0" quotePrefix="0" xfId="4">
      <alignment horizontal="center"/>
    </xf>
    <xf numFmtId="164" fontId="6" fillId="0" borderId="25" applyAlignment="1" pivotButton="0" quotePrefix="0" xfId="0">
      <alignment horizontal="center"/>
    </xf>
    <xf numFmtId="164" fontId="6" fillId="0" borderId="32" applyAlignment="1" pivotButton="0" quotePrefix="0" xfId="0">
      <alignment horizontal="center"/>
    </xf>
    <xf numFmtId="10" fontId="6" fillId="3" borderId="32" applyAlignment="1" pivotButton="0" quotePrefix="0" xfId="0">
      <alignment horizontal="center"/>
    </xf>
    <xf numFmtId="164" fontId="6" fillId="2" borderId="2" applyAlignment="1" pivotButton="0" quotePrefix="0" xfId="1">
      <alignment horizontal="center"/>
    </xf>
    <xf numFmtId="164" fontId="6" fillId="2" borderId="16" applyAlignment="1" pivotButton="0" quotePrefix="0" xfId="1">
      <alignment horizontal="center"/>
    </xf>
    <xf numFmtId="164" fontId="6" fillId="3" borderId="18" applyAlignment="1" pivotButton="0" quotePrefix="0" xfId="0">
      <alignment horizontal="center"/>
    </xf>
    <xf numFmtId="43" fontId="6" fillId="0" borderId="0" applyAlignment="1" pivotButton="0" quotePrefix="0" xfId="1">
      <alignment horizontal="center"/>
    </xf>
    <xf numFmtId="0" fontId="6" fillId="0" borderId="2" applyAlignment="1" pivotButton="0" quotePrefix="1" xfId="0">
      <alignment horizontal="center"/>
    </xf>
    <xf numFmtId="0" fontId="6" fillId="3" borderId="0" applyAlignment="1" pivotButton="0" quotePrefix="0" xfId="0">
      <alignment horizontal="center"/>
    </xf>
    <xf numFmtId="165" fontId="8" fillId="3" borderId="2" applyAlignment="1" pivotButton="0" quotePrefix="0" xfId="0">
      <alignment horizontal="center"/>
    </xf>
    <xf numFmtId="165" fontId="10" fillId="4" borderId="0" applyAlignment="1" applyProtection="1" pivotButton="0" quotePrefix="0" xfId="0">
      <alignment horizontal="center" vertical="top" wrapText="1" readingOrder="1"/>
      <protection locked="0" hidden="0"/>
    </xf>
    <xf numFmtId="10" fontId="4" fillId="4" borderId="0" applyAlignment="1" applyProtection="1" pivotButton="0" quotePrefix="0" xfId="0">
      <alignment horizontal="center" vertical="top" wrapText="1"/>
      <protection locked="0" hidden="0"/>
    </xf>
    <xf numFmtId="165" fontId="8" fillId="4" borderId="2" applyAlignment="1" pivotButton="0" quotePrefix="0" xfId="0">
      <alignment horizontal="center"/>
    </xf>
    <xf numFmtId="164" fontId="8" fillId="4" borderId="2" applyAlignment="1" pivotButton="0" quotePrefix="0" xfId="0">
      <alignment horizontal="center"/>
    </xf>
    <xf numFmtId="165" fontId="8" fillId="4" borderId="36" applyAlignment="1" pivotButton="0" quotePrefix="0" xfId="0">
      <alignment horizontal="center"/>
    </xf>
    <xf numFmtId="0" fontId="8" fillId="4" borderId="36" applyAlignment="1" pivotButton="0" quotePrefix="0" xfId="0">
      <alignment horizontal="center"/>
    </xf>
    <xf numFmtId="169" fontId="6" fillId="0" borderId="22" applyAlignment="1" pivotButton="0" quotePrefix="0" xfId="0">
      <alignment horizontal="center"/>
    </xf>
    <xf numFmtId="0" fontId="8" fillId="0" borderId="18" pivotButton="0" quotePrefix="0" xfId="0"/>
    <xf numFmtId="0" fontId="8" fillId="0" borderId="19" pivotButton="0" quotePrefix="0" xfId="0"/>
    <xf numFmtId="164" fontId="8" fillId="0" borderId="19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28" applyAlignment="1" pivotButton="0" quotePrefix="0" xfId="0">
      <alignment horizontal="center"/>
    </xf>
    <xf numFmtId="164" fontId="8" fillId="0" borderId="2" applyAlignment="1" pivotButton="0" quotePrefix="0" xfId="0">
      <alignment horizontal="center"/>
    </xf>
    <xf numFmtId="0" fontId="8" fillId="0" borderId="23" applyAlignment="1" pivotButton="0" quotePrefix="0" xfId="0">
      <alignment horizontal="center"/>
    </xf>
    <xf numFmtId="164" fontId="8" fillId="0" borderId="16" applyAlignment="1" pivotButton="0" quotePrefix="0" xfId="0">
      <alignment horizontal="center"/>
    </xf>
    <xf numFmtId="0" fontId="8" fillId="0" borderId="14" applyAlignment="1" pivotButton="0" quotePrefix="0" xfId="0">
      <alignment horizontal="center"/>
    </xf>
    <xf numFmtId="164" fontId="8" fillId="0" borderId="15" applyAlignment="1" pivotButton="0" quotePrefix="0" xfId="0">
      <alignment horizontal="center"/>
    </xf>
    <xf numFmtId="165" fontId="8" fillId="2" borderId="2" applyAlignment="1" pivotButton="0" quotePrefix="0" xfId="0">
      <alignment horizontal="center"/>
    </xf>
    <xf numFmtId="165" fontId="8" fillId="2" borderId="16" applyAlignment="1" pivotButton="0" quotePrefix="0" xfId="0">
      <alignment horizontal="center"/>
    </xf>
    <xf numFmtId="165" fontId="8" fillId="2" borderId="15" applyAlignment="1" pivotButton="0" quotePrefix="0" xfId="0">
      <alignment horizontal="center"/>
    </xf>
    <xf numFmtId="165" fontId="8" fillId="0" borderId="2" applyAlignment="1" pivotButton="0" quotePrefix="0" xfId="0">
      <alignment horizontal="center"/>
    </xf>
    <xf numFmtId="164" fontId="9" fillId="0" borderId="25" applyAlignment="1" pivotButton="0" quotePrefix="0" xfId="4">
      <alignment horizontal="center"/>
    </xf>
    <xf numFmtId="164" fontId="6" fillId="0" borderId="25" applyAlignment="1" pivotButton="0" quotePrefix="0" xfId="1">
      <alignment horizontal="center"/>
    </xf>
    <xf numFmtId="167" fontId="6" fillId="2" borderId="31" applyAlignment="1" pivotButton="0" quotePrefix="0" xfId="0">
      <alignment horizontal="center"/>
    </xf>
    <xf numFmtId="0" fontId="6" fillId="2" borderId="2" pivotButton="0" quotePrefix="0" xfId="0"/>
    <xf numFmtId="0" fontId="6" fillId="0" borderId="16" applyAlignment="1" pivotButton="0" quotePrefix="0" xfId="0">
      <alignment horizontal="center"/>
    </xf>
    <xf numFmtId="0" fontId="8" fillId="0" borderId="19" applyAlignment="1" pivotButton="0" quotePrefix="0" xfId="0">
      <alignment horizontal="center"/>
    </xf>
    <xf numFmtId="0" fontId="6" fillId="0" borderId="25" applyAlignment="1" pivotButton="0" quotePrefix="0" xfId="0">
      <alignment horizontal="center"/>
    </xf>
    <xf numFmtId="164" fontId="8" fillId="0" borderId="20" applyAlignment="1" pivotButton="0" quotePrefix="0" xfId="0">
      <alignment horizontal="center"/>
    </xf>
    <xf numFmtId="164" fontId="6" fillId="2" borderId="26" applyAlignment="1" pivotButton="0" quotePrefix="0" xfId="0">
      <alignment horizontal="center"/>
    </xf>
    <xf numFmtId="164" fontId="6" fillId="2" borderId="13" applyAlignment="1" pivotButton="0" quotePrefix="0" xfId="0">
      <alignment horizontal="center"/>
    </xf>
    <xf numFmtId="164" fontId="6" fillId="2" borderId="17" applyAlignment="1" pivotButton="0" quotePrefix="0" xfId="0">
      <alignment horizontal="center"/>
    </xf>
    <xf numFmtId="165" fontId="9" fillId="0" borderId="7" applyAlignment="1" pivotButton="0" quotePrefix="0" xfId="0">
      <alignment horizontal="center"/>
    </xf>
    <xf numFmtId="164" fontId="6" fillId="0" borderId="2" applyAlignment="1" pivotButton="0" quotePrefix="0" xfId="0">
      <alignment horizontal="center"/>
    </xf>
    <xf numFmtId="164" fontId="6" fillId="0" borderId="2" applyAlignment="1" pivotButton="0" quotePrefix="0" xfId="1">
      <alignment horizontal="center"/>
    </xf>
    <xf numFmtId="164" fontId="6" fillId="3" borderId="16" applyAlignment="1" pivotButton="0" quotePrefix="0" xfId="1">
      <alignment horizontal="center"/>
    </xf>
    <xf numFmtId="164" fontId="9" fillId="0" borderId="2" applyAlignment="1" pivotButton="0" quotePrefix="0" xfId="4">
      <alignment horizontal="center"/>
    </xf>
    <xf numFmtId="0" fontId="8" fillId="0" borderId="1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3" fillId="2" borderId="6" applyAlignment="1" pivotButton="0" quotePrefix="0" xfId="0">
      <alignment horizontal="left"/>
    </xf>
    <xf numFmtId="0" fontId="3" fillId="2" borderId="7" applyAlignment="1" pivotButton="0" quotePrefix="0" xfId="0">
      <alignment horizontal="left"/>
    </xf>
    <xf numFmtId="0" fontId="8" fillId="0" borderId="18" applyAlignment="1" pivotButton="0" quotePrefix="0" xfId="0">
      <alignment horizontal="center"/>
    </xf>
    <xf numFmtId="0" fontId="8" fillId="0" borderId="19" applyAlignment="1" pivotButton="0" quotePrefix="0" xfId="0">
      <alignment horizontal="center"/>
    </xf>
    <xf numFmtId="0" fontId="8" fillId="0" borderId="34" applyAlignment="1" pivotButton="0" quotePrefix="0" xfId="0">
      <alignment horizontal="center"/>
    </xf>
    <xf numFmtId="0" fontId="8" fillId="0" borderId="2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1" applyAlignment="1" pivotButton="0" quotePrefix="0" xfId="0">
      <alignment horizontal="center"/>
    </xf>
    <xf numFmtId="0" fontId="8" fillId="0" borderId="24" applyAlignment="1" pivotButton="0" quotePrefix="0" xfId="0">
      <alignment horizontal="center"/>
    </xf>
    <xf numFmtId="0" fontId="8" fillId="0" borderId="3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2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14" fontId="6" fillId="2" borderId="1" applyAlignment="1" pivotButton="0" quotePrefix="0" xfId="0">
      <alignment horizontal="center"/>
    </xf>
    <xf numFmtId="14" fontId="6" fillId="2" borderId="11" applyAlignment="1" pivotButton="0" quotePrefix="0" xfId="0">
      <alignment horizontal="center"/>
    </xf>
    <xf numFmtId="0" fontId="8" fillId="0" borderId="14" applyAlignment="1" pivotButton="0" quotePrefix="0" xfId="0">
      <alignment horizontal="center"/>
    </xf>
    <xf numFmtId="0" fontId="8" fillId="0" borderId="27" applyAlignment="1" pivotButton="0" quotePrefix="0" xfId="0">
      <alignment horizontal="center"/>
    </xf>
    <xf numFmtId="0" fontId="8" fillId="0" borderId="8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0" fontId="8" fillId="0" borderId="10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6" fillId="0" borderId="3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0" fontId="6" fillId="0" borderId="27" applyAlignment="1" pivotButton="0" quotePrefix="0" xfId="0">
      <alignment horizontal="center"/>
    </xf>
    <xf numFmtId="0" fontId="6" fillId="0" borderId="28" applyAlignment="1" pivotButton="0" quotePrefix="0" xfId="0">
      <alignment horizontal="center"/>
    </xf>
    <xf numFmtId="0" fontId="6" fillId="0" borderId="29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3" fillId="2" borderId="22" applyAlignment="1" pivotButton="0" quotePrefix="0" xfId="0">
      <alignment horizontal="left"/>
    </xf>
    <xf numFmtId="0" fontId="0" fillId="0" borderId="6" pivotButton="0" quotePrefix="0" xfId="0"/>
    <xf numFmtId="0" fontId="0" fillId="0" borderId="7" pivotButton="0" quotePrefix="0" xfId="0"/>
    <xf numFmtId="0" fontId="0" fillId="0" borderId="48" pivotButton="0" quotePrefix="0" xfId="0"/>
    <xf numFmtId="0" fontId="0" fillId="0" borderId="11" pivotButton="0" quotePrefix="0" xfId="0"/>
    <xf numFmtId="0" fontId="0" fillId="0" borderId="51" pivotButton="0" quotePrefix="0" xfId="0"/>
    <xf numFmtId="167" fontId="6" fillId="2" borderId="33" applyAlignment="1" pivotButton="0" quotePrefix="0" xfId="0">
      <alignment horizontal="center"/>
    </xf>
    <xf numFmtId="0" fontId="0" fillId="0" borderId="42" pivotButton="0" quotePrefix="0" xfId="0"/>
    <xf numFmtId="164" fontId="6" fillId="0" borderId="30" applyAlignment="1" pivotButton="0" quotePrefix="0" xfId="0">
      <alignment horizontal="center"/>
    </xf>
    <xf numFmtId="167" fontId="6" fillId="2" borderId="30" applyAlignment="1" pivotButton="0" quotePrefix="0" xfId="3">
      <alignment horizontal="center"/>
    </xf>
    <xf numFmtId="0" fontId="0" fillId="0" borderId="43" pivotButton="0" quotePrefix="0" xfId="0"/>
    <xf numFmtId="167" fontId="6" fillId="2" borderId="31" applyAlignment="1" pivotButton="0" quotePrefix="0" xfId="0">
      <alignment horizontal="center"/>
    </xf>
    <xf numFmtId="164" fontId="9" fillId="2" borderId="25" pivotButton="0" quotePrefix="0" xfId="4"/>
    <xf numFmtId="164" fontId="6" fillId="0" borderId="25" applyAlignment="1" pivotButton="0" quotePrefix="0" xfId="0">
      <alignment horizontal="center"/>
    </xf>
    <xf numFmtId="164" fontId="6" fillId="2" borderId="25" applyAlignment="1" pivotButton="0" quotePrefix="0" xfId="0">
      <alignment horizontal="center"/>
    </xf>
    <xf numFmtId="164" fontId="9" fillId="2" borderId="25" applyAlignment="1" pivotButton="0" quotePrefix="0" xfId="4">
      <alignment horizontal="center"/>
    </xf>
    <xf numFmtId="164" fontId="9" fillId="0" borderId="25" applyAlignment="1" pivotButton="0" quotePrefix="0" xfId="4">
      <alignment horizontal="center"/>
    </xf>
    <xf numFmtId="164" fontId="6" fillId="0" borderId="32" applyAlignment="1" pivotButton="0" quotePrefix="0" xfId="0">
      <alignment horizontal="center"/>
    </xf>
    <xf numFmtId="165" fontId="6" fillId="0" borderId="2" applyAlignment="1" pivotButton="0" quotePrefix="0" xfId="0">
      <alignment horizontal="center"/>
    </xf>
    <xf numFmtId="165" fontId="6" fillId="3" borderId="2" applyAlignment="1" pivotButton="0" quotePrefix="0" xfId="0">
      <alignment horizontal="center"/>
    </xf>
    <xf numFmtId="164" fontId="6" fillId="3" borderId="2" applyAlignment="1" pivotButton="0" quotePrefix="0" xfId="0">
      <alignment horizontal="center"/>
    </xf>
    <xf numFmtId="164" fontId="9" fillId="2" borderId="2" pivotButton="0" quotePrefix="0" xfId="4"/>
    <xf numFmtId="164" fontId="6" fillId="0" borderId="2" applyAlignment="1" pivotButton="0" quotePrefix="0" xfId="0">
      <alignment horizontal="center"/>
    </xf>
    <xf numFmtId="164" fontId="6" fillId="2" borderId="2" applyAlignment="1" pivotButton="0" quotePrefix="0" xfId="0">
      <alignment horizontal="center"/>
    </xf>
    <xf numFmtId="164" fontId="6" fillId="2" borderId="2" applyAlignment="1" pivotButton="0" quotePrefix="0" xfId="1">
      <alignment horizontal="center"/>
    </xf>
    <xf numFmtId="164" fontId="6" fillId="0" borderId="25" applyAlignment="1" pivotButton="0" quotePrefix="0" xfId="1">
      <alignment horizontal="center"/>
    </xf>
    <xf numFmtId="164" fontId="9" fillId="0" borderId="2" applyAlignment="1" pivotButton="0" quotePrefix="0" xfId="4">
      <alignment horizontal="center"/>
    </xf>
    <xf numFmtId="164" fontId="6" fillId="2" borderId="2" pivotButton="0" quotePrefix="0" xfId="1"/>
    <xf numFmtId="164" fontId="6" fillId="0" borderId="2" applyAlignment="1" pivotButton="0" quotePrefix="0" xfId="1">
      <alignment horizontal="center"/>
    </xf>
    <xf numFmtId="164" fontId="6" fillId="2" borderId="16" pivotButton="0" quotePrefix="0" xfId="1"/>
    <xf numFmtId="164" fontId="6" fillId="3" borderId="16" applyAlignment="1" pivotButton="0" quotePrefix="0" xfId="1">
      <alignment horizontal="center"/>
    </xf>
    <xf numFmtId="164" fontId="6" fillId="2" borderId="16" applyAlignment="1" pivotButton="0" quotePrefix="0" xfId="1">
      <alignment horizontal="center"/>
    </xf>
    <xf numFmtId="164" fontId="6" fillId="3" borderId="18" applyAlignment="1" pivotButton="0" quotePrefix="0" xfId="0">
      <alignment horizontal="center"/>
    </xf>
    <xf numFmtId="165" fontId="8" fillId="4" borderId="2" applyAlignment="1" pivotButton="0" quotePrefix="0" xfId="0">
      <alignment horizontal="center"/>
    </xf>
    <xf numFmtId="165" fontId="8" fillId="3" borderId="2" applyAlignment="1" pivotButton="0" quotePrefix="0" xfId="0">
      <alignment horizontal="center"/>
    </xf>
    <xf numFmtId="164" fontId="8" fillId="4" borderId="2" applyAlignment="1" pivotButton="0" quotePrefix="0" xfId="0">
      <alignment horizontal="center"/>
    </xf>
    <xf numFmtId="0" fontId="0" fillId="0" borderId="46" pivotButton="0" quotePrefix="0" xfId="0"/>
    <xf numFmtId="0" fontId="0" fillId="0" borderId="47" pivotButton="0" quotePrefix="0" xfId="0"/>
    <xf numFmtId="43" fontId="6" fillId="0" borderId="0" applyAlignment="1" pivotButton="0" quotePrefix="0" xfId="1">
      <alignment horizontal="center"/>
    </xf>
    <xf numFmtId="164" fontId="8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5" fontId="10" fillId="4" borderId="0" applyAlignment="1" applyProtection="1" pivotButton="0" quotePrefix="0" xfId="0">
      <alignment horizontal="center" vertical="top" wrapText="1" readingOrder="1"/>
      <protection locked="0" hidden="0"/>
    </xf>
    <xf numFmtId="165" fontId="8" fillId="2" borderId="2" applyAlignment="1" pivotButton="0" quotePrefix="0" xfId="0">
      <alignment horizontal="center"/>
    </xf>
    <xf numFmtId="164" fontId="8" fillId="0" borderId="2" applyAlignment="1" pivotButton="0" quotePrefix="0" xfId="0">
      <alignment horizontal="center"/>
    </xf>
    <xf numFmtId="165" fontId="8" fillId="0" borderId="2" applyAlignment="1" pivotButton="0" quotePrefix="0" xfId="0">
      <alignment horizontal="center"/>
    </xf>
    <xf numFmtId="165" fontId="6" fillId="2" borderId="2" applyAlignment="1" pivotButton="0" quotePrefix="0" xfId="0">
      <alignment horizontal="center"/>
    </xf>
    <xf numFmtId="165" fontId="8" fillId="2" borderId="16" applyAlignment="1" pivotButton="0" quotePrefix="0" xfId="0">
      <alignment horizontal="center"/>
    </xf>
    <xf numFmtId="164" fontId="8" fillId="0" borderId="16" applyAlignment="1" pivotButton="0" quotePrefix="0" xfId="0">
      <alignment horizontal="center"/>
    </xf>
    <xf numFmtId="165" fontId="8" fillId="2" borderId="15" applyAlignment="1" pivotButton="0" quotePrefix="0" xfId="0">
      <alignment horizontal="center"/>
    </xf>
    <xf numFmtId="164" fontId="8" fillId="0" borderId="15" applyAlignment="1" pivotButton="0" quotePrefix="0" xfId="0">
      <alignment horizontal="center"/>
    </xf>
    <xf numFmtId="164" fontId="8" fillId="0" borderId="19" applyAlignment="1" pivotButton="0" quotePrefix="0" xfId="0">
      <alignment horizontal="center"/>
    </xf>
    <xf numFmtId="164" fontId="8" fillId="0" borderId="20" applyAlignment="1" pivotButton="0" quotePrefix="0" xfId="0">
      <alignment horizontal="center"/>
    </xf>
    <xf numFmtId="164" fontId="6" fillId="2" borderId="26" applyAlignment="1" pivotButton="0" quotePrefix="0" xfId="0">
      <alignment horizontal="center"/>
    </xf>
    <xf numFmtId="164" fontId="6" fillId="2" borderId="13" applyAlignment="1" pivotButton="0" quotePrefix="0" xfId="0">
      <alignment horizontal="center"/>
    </xf>
    <xf numFmtId="164" fontId="6" fillId="2" borderId="16" applyAlignment="1" pivotButton="0" quotePrefix="0" xfId="0">
      <alignment horizontal="center"/>
    </xf>
    <xf numFmtId="164" fontId="6" fillId="2" borderId="17" applyAlignment="1" pivotButton="0" quotePrefix="0" xfId="0">
      <alignment horizontal="center"/>
    </xf>
    <xf numFmtId="169" fontId="6" fillId="0" borderId="22" applyAlignment="1" pivotButton="0" quotePrefix="0" xfId="0">
      <alignment horizontal="center"/>
    </xf>
    <xf numFmtId="165" fontId="9" fillId="0" borderId="22" applyAlignment="1" pivotButton="0" quotePrefix="0" xfId="0">
      <alignment horizontal="center"/>
    </xf>
    <xf numFmtId="165" fontId="9" fillId="0" borderId="7" applyAlignment="1" pivotButton="0" quotePrefix="0" xfId="0">
      <alignment horizontal="center"/>
    </xf>
    <xf numFmtId="164" fontId="6" fillId="3" borderId="0" applyAlignment="1" pivotButton="0" quotePrefix="0" xfId="2">
      <alignment horizontal="center"/>
    </xf>
    <xf numFmtId="168" fontId="6" fillId="2" borderId="25" pivotButton="0" quotePrefix="0" xfId="1"/>
    <xf numFmtId="0" fontId="6" fillId="0" borderId="26" applyAlignment="1" pivotButton="0" quotePrefix="0" xfId="0">
      <alignment horizontal="center"/>
    </xf>
    <xf numFmtId="0" fontId="0" fillId="0" borderId="1" pivotButton="0" quotePrefix="0" xfId="0"/>
    <xf numFmtId="165" fontId="6" fillId="0" borderId="0" applyAlignment="1" pivotButton="0" quotePrefix="0" xfId="0">
      <alignment horizontal="center"/>
    </xf>
    <xf numFmtId="164" fontId="6" fillId="2" borderId="2" pivotButton="0" quotePrefix="0" xfId="0"/>
    <xf numFmtId="0" fontId="6" fillId="0" borderId="13" applyAlignment="1" pivotButton="0" quotePrefix="0" xfId="0">
      <alignment horizontal="center"/>
    </xf>
    <xf numFmtId="0" fontId="0" fillId="0" borderId="4" pivotButton="0" quotePrefix="0" xfId="0"/>
    <xf numFmtId="0" fontId="0" fillId="0" borderId="21" pivotButton="0" quotePrefix="0" xfId="0"/>
    <xf numFmtId="165" fontId="8" fillId="4" borderId="36" applyAlignment="1" pivotButton="0" quotePrefix="0" xfId="0">
      <alignment horizontal="center"/>
    </xf>
    <xf numFmtId="0" fontId="6" fillId="0" borderId="37" applyAlignment="1" pivotButton="0" quotePrefix="0" xfId="0">
      <alignment horizontal="center"/>
    </xf>
    <xf numFmtId="0" fontId="0" fillId="0" borderId="28" pivotButton="0" quotePrefix="0" xfId="0"/>
    <xf numFmtId="0" fontId="0" fillId="0" borderId="29" pivotButton="0" quotePrefix="0" xfId="0"/>
  </cellXfs>
  <cellStyles count="5">
    <cellStyle name="Normal" xfId="0" builtinId="0"/>
    <cellStyle name="Comma" xfId="1" builtinId="3"/>
    <cellStyle name="Currency" xfId="2" builtinId="4"/>
    <cellStyle name="Percent" xfId="3" builtinId="5"/>
    <cellStyle name="Normal 2" xf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Derek Keogh</author>
  </authors>
  <commentList>
    <comment ref="G4" authorId="0" shapeId="0">
      <text>
        <t>Derek Keogh:
Source : OPR</t>
      </text>
    </comment>
    <comment ref="G5" authorId="0" shapeId="0">
      <text>
        <t>Derek Keogh:
Source : OPR Reports</t>
      </text>
    </comment>
    <comment ref="G6" authorId="0" shapeId="0">
      <text>
        <t>Derek Keogh:
Source : OPR Reports</t>
      </text>
    </comment>
    <comment ref="G8" authorId="0" shapeId="0">
      <text>
        <t>Derek Keogh:
Source : Timepoint / Roster for week in question</t>
      </text>
    </comment>
    <comment ref="G9" authorId="0" shapeId="0">
      <text>
        <t>Derek Keogh:
Source : Timepoint/Reports/Dept Tracking/Dept Hours &amp; Costing / Actual / Select Week then run report/ Use Hours &amp; Cost summary ( 3rd tab )</t>
      </text>
    </comment>
    <comment ref="B13" authorId="0" shapeId="0">
      <text>
        <t>Derek Keogh:
Source : Weekly Dockets</t>
      </text>
    </comment>
    <comment ref="D13" authorId="0" shapeId="0">
      <text>
        <t>Derek Keogh:
Source : Stocktakes</t>
      </text>
    </comment>
    <comment ref="E13" authorId="0" shapeId="0">
      <text>
        <t xml:space="preserve">Derek Keogh:
Source : OPR </t>
      </text>
    </comment>
    <comment ref="J13" authorId="0" shapeId="0">
      <text>
        <t>Derek Keogh:
Source OPR Report</t>
      </text>
    </comment>
    <comment ref="H27" authorId="0" shapeId="0">
      <text>
        <t>Derek Keogh:
Source : Weekly Waste Report B0002 €CT figure</t>
      </text>
    </comment>
    <comment ref="B40" authorId="0" shapeId="0">
      <text>
        <t>Derek Keogh:
Source : Gap Mgt Report</t>
      </text>
    </comment>
    <comment ref="D40" authorId="0" shapeId="0">
      <text>
        <t xml:space="preserve">Derek Keogh:
Source : Delivery Sheet downstairs
</t>
      </text>
    </comment>
    <comment ref="E40" authorId="0" shapeId="0">
      <text>
        <t>Derek Keogh:
Source : Cash Office</t>
      </text>
    </comment>
    <comment ref="B52" authorId="0" shapeId="0">
      <text>
        <t xml:space="preserve">Derek Keogh:
Source : OPR </t>
      </text>
    </comment>
    <comment ref="I53" authorId="0" shapeId="0">
      <text>
        <t>Derek Keogh:
Check that this equal total on B0002 report</t>
      </text>
    </comment>
  </commentList>
</comments>
</file>

<file path=xl/comments/comment2.xml><?xml version="1.0" encoding="utf-8"?>
<comments xmlns="http://schemas.openxmlformats.org/spreadsheetml/2006/main">
  <authors>
    <author>Derek Keogh</author>
  </authors>
  <commentList>
    <comment ref="G4" authorId="0" shapeId="0">
      <text>
        <t>Derek Keogh:
Source : OPR</t>
      </text>
    </comment>
    <comment ref="G5" authorId="0" shapeId="0">
      <text>
        <t>Derek Keogh:
Source : OPR Reports</t>
      </text>
    </comment>
    <comment ref="G6" authorId="0" shapeId="0">
      <text>
        <t>Derek Keogh:
Source : OPR Reports</t>
      </text>
    </comment>
    <comment ref="G8" authorId="0" shapeId="0">
      <text>
        <t>Derek Keogh:
Source : Timepoint / Roster for week in question</t>
      </text>
    </comment>
    <comment ref="G9" authorId="0" shapeId="0">
      <text>
        <t>Derek Keogh:
Source : Timepoint/Reports/Dept Tracking/Dept Hours &amp; Costing / Actual / Select Week then run report/ Use Hours &amp; Cost summary ( 3rd tab )</t>
      </text>
    </comment>
    <comment ref="B13" authorId="0" shapeId="0">
      <text>
        <t>Derek Keogh:
Source : Weekly Dockets</t>
      </text>
    </comment>
    <comment ref="D13" authorId="0" shapeId="0">
      <text>
        <t>Derek Keogh:
Source : Stocktakes</t>
      </text>
    </comment>
    <comment ref="E13" authorId="0" shapeId="0">
      <text>
        <t xml:space="preserve">Derek Keogh:
Source : OPR </t>
      </text>
    </comment>
    <comment ref="J13" authorId="0" shapeId="0">
      <text>
        <t>Derek Keogh:
Source OPR Report</t>
      </text>
    </comment>
    <comment ref="H27" authorId="0" shapeId="0">
      <text>
        <t>Derek Keogh:
Source : Weekly Waste Report B0002 €CT figure</t>
      </text>
    </comment>
    <comment ref="B40" authorId="0" shapeId="0">
      <text>
        <t>Derek Keogh:
Source : Gap Mgt Report</t>
      </text>
    </comment>
    <comment ref="D40" authorId="0" shapeId="0">
      <text>
        <t xml:space="preserve">Derek Keogh:
Source : Delivery Sheet downstairs
</t>
      </text>
    </comment>
    <comment ref="E40" authorId="0" shapeId="0">
      <text>
        <t>Derek Keogh:
Source : Cash Office</t>
      </text>
    </comment>
    <comment ref="B52" authorId="0" shapeId="0">
      <text>
        <t xml:space="preserve">Derek Keogh:
Source : OPR </t>
      </text>
    </comment>
    <comment ref="I53" authorId="0" shapeId="0">
      <text>
        <t>Derek Keogh:
Check that this equal total on B0002 report</t>
      </text>
    </comment>
  </commentList>
</comments>
</file>

<file path=xl/comments/comment3.xml><?xml version="1.0" encoding="utf-8"?>
<comments xmlns="http://schemas.openxmlformats.org/spreadsheetml/2006/main">
  <authors>
    <author>Derek Keogh</author>
  </authors>
  <commentList>
    <comment ref="G4" authorId="0" shapeId="0">
      <text>
        <t>Derek Keogh:
Source : OPR</t>
      </text>
    </comment>
    <comment ref="G5" authorId="0" shapeId="0">
      <text>
        <t>Derek Keogh:
Source : OPR Reports</t>
      </text>
    </comment>
    <comment ref="G6" authorId="0" shapeId="0">
      <text>
        <t>Derek Keogh:
Source : OPR Reports</t>
      </text>
    </comment>
    <comment ref="G8" authorId="0" shapeId="0">
      <text>
        <t>Derek Keogh:
Source : Timepoint / Roster for week in question</t>
      </text>
    </comment>
    <comment ref="G9" authorId="0" shapeId="0">
      <text>
        <t>Derek Keogh:
Source : Timepoint/Reports/Dept Tracking/Dept Hours &amp; Costing / Actual / Select Week then run report/ Use Hours &amp; Cost summary ( 3rd tab )</t>
      </text>
    </comment>
    <comment ref="B13" authorId="0" shapeId="0">
      <text>
        <t>Derek Keogh:
Source : Weekly Dockets</t>
      </text>
    </comment>
    <comment ref="D13" authorId="0" shapeId="0">
      <text>
        <t>Derek Keogh:
Source : Stocktakes</t>
      </text>
    </comment>
    <comment ref="E13" authorId="0" shapeId="0">
      <text>
        <t xml:space="preserve">Derek Keogh:
Source : OPR </t>
      </text>
    </comment>
    <comment ref="J13" authorId="0" shapeId="0">
      <text>
        <t>Derek Keogh:
Source OPR Report</t>
      </text>
    </comment>
    <comment ref="H27" authorId="0" shapeId="0">
      <text>
        <t>Derek Keogh:
Source : Weekly Waste Report B0002 €CT figure</t>
      </text>
    </comment>
    <comment ref="B40" authorId="0" shapeId="0">
      <text>
        <t>Derek Keogh:
Source : Gap Mgt Report</t>
      </text>
    </comment>
    <comment ref="D40" authorId="0" shapeId="0">
      <text>
        <t xml:space="preserve">Derek Keogh:
Source : Delivery Sheet downstairs
</t>
      </text>
    </comment>
    <comment ref="E40" authorId="0" shapeId="0">
      <text>
        <t>Derek Keogh:
Source : Cash Office</t>
      </text>
    </comment>
    <comment ref="B52" authorId="0" shapeId="0">
      <text>
        <t xml:space="preserve">Derek Keogh:
Source : OPR </t>
      </text>
    </comment>
    <comment ref="I53" authorId="0" shapeId="0">
      <text>
        <t>Derek Keogh:
Check that this equal total on B0002 report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7"/>
  <sheetViews>
    <sheetView workbookViewId="0">
      <selection activeCell="C16" sqref="C16"/>
    </sheetView>
  </sheetViews>
  <sheetFormatPr baseColWidth="8" defaultRowHeight="14.25"/>
  <cols>
    <col width="26.42578125" customWidth="1" style="1" min="1" max="1"/>
    <col width="15.140625" customWidth="1" style="1" min="2" max="2"/>
    <col width="16.5703125" customWidth="1" style="1" min="3" max="3"/>
    <col width="19.42578125" customWidth="1" style="138" min="4" max="4"/>
    <col width="14.28515625" customWidth="1" style="138" min="5" max="6"/>
    <col width="15.5703125" customWidth="1" style="138" min="7" max="7"/>
    <col width="30.5703125" customWidth="1" style="138" min="8" max="8"/>
    <col width="22.140625" customWidth="1" style="138" min="9" max="14"/>
    <col width="14.85546875" customWidth="1" style="138" min="15" max="15"/>
    <col width="17.42578125" customWidth="1" style="138" min="16" max="16"/>
    <col width="23.7109375" customWidth="1" style="138" min="17" max="17"/>
    <col width="24.42578125" customWidth="1" style="138" min="18" max="18"/>
    <col width="9.140625" customWidth="1" style="1" min="19" max="16384"/>
  </cols>
  <sheetData>
    <row r="1" ht="18.75" customHeight="1" thickBot="1">
      <c r="A1" s="144" t="inlineStr">
        <is>
          <t>PLEASE ONLY FILL IN THE YELLOW BOXES - ALL OTHERS ARE FORMULA DRIVEN !!!</t>
        </is>
      </c>
      <c r="B1" s="145" t="n"/>
      <c r="C1" s="145" t="n"/>
      <c r="D1" s="145" t="n"/>
      <c r="E1" s="145" t="n"/>
      <c r="F1" s="145" t="n"/>
      <c r="G1" s="145" t="n"/>
      <c r="H1" s="145" t="n"/>
      <c r="I1" s="145" t="n"/>
      <c r="J1" s="145" t="n"/>
      <c r="K1" s="145" t="n"/>
      <c r="L1" s="145" t="n"/>
      <c r="M1" s="145" t="n"/>
      <c r="N1" s="145" t="n"/>
      <c r="O1" s="146" t="n"/>
    </row>
    <row r="2" ht="15" customHeight="1" thickBo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5.75" customHeight="1" thickBot="1">
      <c r="A3" s="3" t="n"/>
      <c r="D3" s="114" t="inlineStr">
        <is>
          <t>Week at a Glance</t>
        </is>
      </c>
      <c r="E3" s="145" t="n"/>
      <c r="F3" s="145" t="n"/>
      <c r="G3" s="147" t="n"/>
    </row>
    <row r="4" ht="15" customHeight="1">
      <c r="A4" s="4" t="inlineStr">
        <is>
          <t>Store:</t>
        </is>
      </c>
      <c r="B4" s="119" t="inlineStr">
        <is>
          <t>Skerries</t>
        </is>
      </c>
      <c r="C4" s="148" t="n"/>
      <c r="D4" s="120" t="inlineStr">
        <is>
          <t>Weekly Sales Figure (Inc V.A.T)</t>
        </is>
      </c>
      <c r="E4" s="149" t="n"/>
      <c r="F4" s="81" t="n"/>
      <c r="G4" s="150" t="n"/>
    </row>
    <row r="5" ht="15" customHeight="1">
      <c r="A5" s="5" t="n"/>
      <c r="B5" s="138" t="n"/>
      <c r="C5" s="138" t="n"/>
      <c r="D5" s="120" t="inlineStr">
        <is>
          <t>Weekly Sales Figure (Excl V.A.T)</t>
        </is>
      </c>
      <c r="E5" s="149" t="n"/>
      <c r="F5" s="81" t="n"/>
      <c r="G5" s="150" t="n"/>
    </row>
    <row r="6" ht="15" customHeight="1">
      <c r="A6" s="5" t="n"/>
      <c r="B6" s="6" t="n"/>
      <c r="D6" s="109" t="inlineStr">
        <is>
          <t xml:space="preserve">Margins </t>
        </is>
      </c>
      <c r="E6" s="151" t="n"/>
      <c r="F6" s="82" t="n"/>
      <c r="G6" s="38" t="n"/>
    </row>
    <row r="7" ht="15" customHeight="1">
      <c r="A7" s="4" t="inlineStr">
        <is>
          <t>Prepared By:</t>
        </is>
      </c>
      <c r="B7" s="126" t="inlineStr">
        <is>
          <t> </t>
        </is>
      </c>
      <c r="C7" s="148" t="n"/>
      <c r="D7" s="109" t="inlineStr">
        <is>
          <t>Waste</t>
        </is>
      </c>
      <c r="E7" s="151" t="n"/>
      <c r="F7" s="82" t="n"/>
      <c r="G7" s="152">
        <f>I53</f>
        <v/>
      </c>
    </row>
    <row r="8" ht="15" customHeight="1">
      <c r="B8" s="6" t="n"/>
      <c r="D8" s="109" t="inlineStr">
        <is>
          <t>FCAST Payroll € per Timepoint</t>
        </is>
      </c>
      <c r="E8" s="151" t="n"/>
      <c r="F8" s="82" t="n"/>
      <c r="G8" s="153" t="n"/>
    </row>
    <row r="9" ht="15.75" customHeight="1" thickBot="1">
      <c r="A9" s="4" t="inlineStr">
        <is>
          <t>Week Ending:</t>
        </is>
      </c>
      <c r="B9" s="128" t="inlineStr">
        <is>
          <t> </t>
        </is>
      </c>
      <c r="C9" s="148" t="n"/>
      <c r="D9" s="129" t="inlineStr">
        <is>
          <t>ACT Payroll € per Timepoint</t>
        </is>
      </c>
      <c r="E9" s="154" t="n"/>
      <c r="F9" s="83" t="n"/>
      <c r="G9" s="155" t="n"/>
      <c r="H9" s="143" t="n"/>
      <c r="I9" s="143" t="n"/>
      <c r="J9" s="143" t="n"/>
      <c r="K9" s="143" t="n"/>
      <c r="L9" s="143" t="n"/>
      <c r="M9" s="143" t="n"/>
      <c r="N9" s="143" t="n"/>
      <c r="O9" s="143" t="n"/>
    </row>
    <row r="10" ht="11.25" customHeight="1">
      <c r="A10" s="5" t="n"/>
      <c r="B10" s="5" t="n"/>
      <c r="D10" s="143" t="n"/>
      <c r="E10" s="143" t="n"/>
      <c r="F10" s="143" t="n"/>
      <c r="G10" s="143" t="n"/>
      <c r="H10" s="143" t="n"/>
      <c r="I10" s="143" t="n"/>
      <c r="J10" s="143" t="n"/>
      <c r="K10" s="143" t="n"/>
      <c r="L10" s="143" t="n"/>
      <c r="M10" s="143" t="n"/>
      <c r="N10" s="143" t="n"/>
      <c r="O10" s="143" t="n"/>
    </row>
    <row r="11" ht="15" customHeight="1" thickBot="1">
      <c r="O11" s="29" t="n"/>
    </row>
    <row r="12" ht="45.75" customHeight="1" thickBot="1">
      <c r="A12" s="55" t="inlineStr">
        <is>
          <t>Dept</t>
        </is>
      </c>
      <c r="B12" s="56" t="inlineStr">
        <is>
          <t>Purchases</t>
        </is>
      </c>
      <c r="C12" s="56" t="inlineStr">
        <is>
          <t>Opening Stock</t>
        </is>
      </c>
      <c r="D12" s="56" t="inlineStr">
        <is>
          <t>closing stock</t>
        </is>
      </c>
      <c r="E12" s="57" t="inlineStr">
        <is>
          <t>Sales excluding Vat</t>
        </is>
      </c>
      <c r="F12" s="57" t="inlineStr">
        <is>
          <t>Transfers</t>
        </is>
      </c>
      <c r="G12" s="56" t="inlineStr">
        <is>
          <t>Cost of Sales</t>
        </is>
      </c>
      <c r="H12" s="56" t="inlineStr">
        <is>
          <t xml:space="preserve">Profit </t>
        </is>
      </c>
      <c r="I12" s="56" t="inlineStr">
        <is>
          <t>ACT MARGIN</t>
        </is>
      </c>
      <c r="J12" s="58" t="inlineStr">
        <is>
          <t>SCAN MARGIN</t>
        </is>
      </c>
      <c r="K12" s="58" t="inlineStr">
        <is>
          <t xml:space="preserve">Var € + /  - </t>
        </is>
      </c>
      <c r="L12" s="58" t="inlineStr">
        <is>
          <t>Var % + / -</t>
        </is>
      </c>
      <c r="M12" s="58" t="inlineStr">
        <is>
          <t>FCAST Waste €</t>
        </is>
      </c>
      <c r="N12" s="58" t="inlineStr">
        <is>
          <t>FCAST Waste %</t>
        </is>
      </c>
      <c r="O12" s="58" t="inlineStr">
        <is>
          <t>Known Waste</t>
        </is>
      </c>
      <c r="P12" s="58" t="inlineStr">
        <is>
          <t>Known Waste %</t>
        </is>
      </c>
      <c r="Q12" s="58" t="inlineStr">
        <is>
          <t>Waste to investigate €</t>
        </is>
      </c>
      <c r="R12" s="58" t="inlineStr">
        <is>
          <t>Waste to investigate %</t>
        </is>
      </c>
    </row>
    <row r="13" ht="15" customHeight="1">
      <c r="A13" s="25" t="inlineStr">
        <is>
          <t>Cigarettes</t>
        </is>
      </c>
      <c r="B13" s="156" t="n"/>
      <c r="C13" s="157" t="n"/>
      <c r="D13" s="158" t="n"/>
      <c r="E13" s="159" t="n"/>
      <c r="F13" s="160" t="n"/>
      <c r="G13" s="157">
        <f>B13+C13-D13+F13</f>
        <v/>
      </c>
      <c r="H13" s="161">
        <f>+E13-G13</f>
        <v/>
      </c>
      <c r="I13" s="63">
        <f>+H13/E13</f>
        <v/>
      </c>
      <c r="J13" s="39" t="n"/>
      <c r="K13" s="162">
        <f>E13*L13</f>
        <v/>
      </c>
      <c r="L13" s="40">
        <f>I13-J13</f>
        <v/>
      </c>
      <c r="M13" s="163">
        <f>E13*N13</f>
        <v/>
      </c>
      <c r="N13" s="40" t="n">
        <v>0.0005</v>
      </c>
      <c r="O13" s="164">
        <f>I36</f>
        <v/>
      </c>
      <c r="P13" s="42">
        <f>O13/E13</f>
        <v/>
      </c>
      <c r="Q13" s="162">
        <f>K13+O13</f>
        <v/>
      </c>
      <c r="R13" s="42">
        <f>L13+P13</f>
        <v/>
      </c>
    </row>
    <row r="14" ht="15" customHeight="1">
      <c r="A14" s="13" t="inlineStr">
        <is>
          <t>PBOB Produce</t>
        </is>
      </c>
      <c r="B14" s="165" t="n"/>
      <c r="C14" s="166" t="n"/>
      <c r="D14" s="167" t="n"/>
      <c r="E14" s="168" t="n"/>
      <c r="F14" s="169" t="n"/>
      <c r="G14" s="157">
        <f>B14+C14-D14+F14</f>
        <v/>
      </c>
      <c r="H14" s="161">
        <f>+E14-G14</f>
        <v/>
      </c>
      <c r="I14" s="63" t="n">
        <v>0</v>
      </c>
      <c r="J14" s="39" t="n"/>
      <c r="K14" s="162">
        <f>E14*L14</f>
        <v/>
      </c>
      <c r="L14" s="40">
        <f>I14-J14</f>
        <v/>
      </c>
      <c r="M14" s="163">
        <f>E14*N14</f>
        <v/>
      </c>
      <c r="N14" s="40" t="n"/>
      <c r="O14" s="164" t="n"/>
      <c r="P14" s="42">
        <f>O14/E14</f>
        <v/>
      </c>
      <c r="Q14" s="162">
        <f>K14+O14</f>
        <v/>
      </c>
      <c r="R14" s="42">
        <f>L14+P14</f>
        <v/>
      </c>
    </row>
    <row r="15" ht="15" customHeight="1">
      <c r="A15" s="13" t="inlineStr">
        <is>
          <t>Meat Poultry Fish</t>
        </is>
      </c>
      <c r="B15" s="170">
        <f>SUM(B16:B21)</f>
        <v/>
      </c>
      <c r="C15" s="170" t="n">
        <v>0</v>
      </c>
      <c r="D15" s="170">
        <f>SUM(D16:D21)</f>
        <v/>
      </c>
      <c r="E15" s="170">
        <f>SUM(E16:E21)</f>
        <v/>
      </c>
      <c r="F15" s="170">
        <f>SUM(F16:F21)</f>
        <v/>
      </c>
      <c r="G15" s="170">
        <f>SUM(G16:G21)</f>
        <v/>
      </c>
      <c r="H15" s="170">
        <f>SUM(H16:H21)</f>
        <v/>
      </c>
      <c r="I15" s="63">
        <f>+H15/E15</f>
        <v/>
      </c>
      <c r="J15" s="39" t="n"/>
      <c r="K15" s="162">
        <f>E15*L15</f>
        <v/>
      </c>
      <c r="L15" s="40">
        <f>I15-J15</f>
        <v/>
      </c>
      <c r="M15" s="163">
        <f>E15*N15</f>
        <v/>
      </c>
      <c r="N15" s="40" t="n"/>
      <c r="O15" s="164">
        <f>SUM(O16:O21)</f>
        <v/>
      </c>
      <c r="P15" s="42">
        <f>O15/E15</f>
        <v/>
      </c>
      <c r="Q15" s="162">
        <f>K15+O15</f>
        <v/>
      </c>
      <c r="R15" s="42">
        <f>L15+P15</f>
        <v/>
      </c>
    </row>
    <row r="16" ht="15" customHeight="1">
      <c r="A16" s="13" t="inlineStr">
        <is>
          <t>Beef</t>
        </is>
      </c>
      <c r="B16" s="165" t="n"/>
      <c r="C16" s="166" t="n">
        <v>0</v>
      </c>
      <c r="D16" s="167" t="n"/>
      <c r="E16" s="168" t="n"/>
      <c r="F16" s="169">
        <f>-B34+D30+D33</f>
        <v/>
      </c>
      <c r="G16" s="157">
        <f>B16+C16-D16+F16</f>
        <v/>
      </c>
      <c r="H16" s="161">
        <f>+E16-G16</f>
        <v/>
      </c>
      <c r="I16" s="63">
        <f>+H16/E16</f>
        <v/>
      </c>
      <c r="J16" s="39" t="n"/>
      <c r="K16" s="162">
        <f>E16*L16</f>
        <v/>
      </c>
      <c r="L16" s="40">
        <f>I16-J16</f>
        <v/>
      </c>
      <c r="M16" s="163">
        <f>E16*N16</f>
        <v/>
      </c>
      <c r="N16" s="40" t="n">
        <v>0.03</v>
      </c>
      <c r="O16" s="164">
        <f>I39</f>
        <v/>
      </c>
      <c r="P16" s="42">
        <f>O16/E16</f>
        <v/>
      </c>
      <c r="Q16" s="162">
        <f>K16+O16</f>
        <v/>
      </c>
      <c r="R16" s="42">
        <f>L16+P16</f>
        <v/>
      </c>
    </row>
    <row r="17" ht="15" customHeight="1">
      <c r="A17" s="13" t="inlineStr">
        <is>
          <t>Lamb</t>
        </is>
      </c>
      <c r="B17" s="171" t="n"/>
      <c r="C17" s="172" t="n">
        <v>0</v>
      </c>
      <c r="D17" s="168" t="n"/>
      <c r="E17" s="168" t="n"/>
      <c r="F17" s="169" t="n"/>
      <c r="G17" s="157">
        <f>B17+C17-D17+F17</f>
        <v/>
      </c>
      <c r="H17" s="161">
        <f>+E17-G17</f>
        <v/>
      </c>
      <c r="I17" s="63">
        <f>+H17/E17</f>
        <v/>
      </c>
      <c r="J17" s="39" t="n"/>
      <c r="K17" s="162">
        <f>E17*L17</f>
        <v/>
      </c>
      <c r="L17" s="40">
        <f>I17-J17</f>
        <v/>
      </c>
      <c r="M17" s="163">
        <f>E17*N17</f>
        <v/>
      </c>
      <c r="N17" s="40" t="n">
        <v>0.02</v>
      </c>
      <c r="O17" s="164">
        <f>I40</f>
        <v/>
      </c>
      <c r="P17" s="42">
        <f>O17/E17</f>
        <v/>
      </c>
      <c r="Q17" s="162">
        <f>K17+O17</f>
        <v/>
      </c>
      <c r="R17" s="42">
        <f>L17+P17</f>
        <v/>
      </c>
    </row>
    <row r="18" ht="15" customHeight="1">
      <c r="A18" s="13" t="inlineStr">
        <is>
          <t>Pork</t>
        </is>
      </c>
      <c r="B18" s="171" t="n"/>
      <c r="C18" s="166" t="n">
        <v>0</v>
      </c>
      <c r="D18" s="167" t="n"/>
      <c r="E18" s="168" t="n"/>
      <c r="F18" s="169" t="n"/>
      <c r="G18" s="157">
        <f>B18+C18-D18+F18</f>
        <v/>
      </c>
      <c r="H18" s="161">
        <f>+E18-G18</f>
        <v/>
      </c>
      <c r="I18" s="63">
        <f>+H18/E18</f>
        <v/>
      </c>
      <c r="J18" s="39" t="n"/>
      <c r="K18" s="162">
        <f>E18*L18</f>
        <v/>
      </c>
      <c r="L18" s="40">
        <f>I18-J18</f>
        <v/>
      </c>
      <c r="M18" s="163">
        <f>E18*N18</f>
        <v/>
      </c>
      <c r="N18" s="40" t="n">
        <v>0.015</v>
      </c>
      <c r="O18" s="164">
        <f>I41</f>
        <v/>
      </c>
      <c r="P18" s="42">
        <f>O18/E18</f>
        <v/>
      </c>
      <c r="Q18" s="162">
        <f>K18+O18</f>
        <v/>
      </c>
      <c r="R18" s="42">
        <f>L18+P18</f>
        <v/>
      </c>
    </row>
    <row r="19" ht="15" customHeight="1">
      <c r="A19" s="13" t="inlineStr">
        <is>
          <t>Bacon &amp; Loose S.R.P</t>
        </is>
      </c>
      <c r="B19" s="171" t="n"/>
      <c r="C19" s="166" t="n">
        <v>0</v>
      </c>
      <c r="D19" s="167" t="n"/>
      <c r="E19" s="168" t="n"/>
      <c r="F19" s="169" t="n"/>
      <c r="G19" s="157">
        <f>B19+C19-D19+F19</f>
        <v/>
      </c>
      <c r="H19" s="161">
        <f>+E19-G19</f>
        <v/>
      </c>
      <c r="I19" s="63">
        <f>+H19/E19</f>
        <v/>
      </c>
      <c r="J19" s="39" t="n"/>
      <c r="K19" s="162">
        <f>E19*L19</f>
        <v/>
      </c>
      <c r="L19" s="40">
        <f>I19-J19</f>
        <v/>
      </c>
      <c r="M19" s="163">
        <f>E19*N19</f>
        <v/>
      </c>
      <c r="N19" s="40" t="n">
        <v>0.01</v>
      </c>
      <c r="O19" s="164">
        <f>I42</f>
        <v/>
      </c>
      <c r="P19" s="42">
        <f>O19/E19</f>
        <v/>
      </c>
      <c r="Q19" s="162">
        <f>K19+O19</f>
        <v/>
      </c>
      <c r="R19" s="42">
        <f>L19+P19</f>
        <v/>
      </c>
    </row>
    <row r="20" ht="15" customHeight="1">
      <c r="A20" s="13" t="inlineStr">
        <is>
          <t>Poultry</t>
        </is>
      </c>
      <c r="B20" s="171" t="n"/>
      <c r="C20" s="172" t="n">
        <v>0</v>
      </c>
      <c r="D20" s="168" t="n"/>
      <c r="E20" s="168" t="n"/>
      <c r="F20" s="169">
        <f>-B35</f>
        <v/>
      </c>
      <c r="G20" s="157">
        <f>B20+C20-D20+F20</f>
        <v/>
      </c>
      <c r="H20" s="161">
        <f>+E20-G20</f>
        <v/>
      </c>
      <c r="I20" s="63">
        <f>+H20/E20</f>
        <v/>
      </c>
      <c r="J20" s="39" t="n"/>
      <c r="K20" s="162">
        <f>E20*L20</f>
        <v/>
      </c>
      <c r="L20" s="40">
        <f>I20-J20</f>
        <v/>
      </c>
      <c r="M20" s="163">
        <f>E20*N20</f>
        <v/>
      </c>
      <c r="N20" s="40" t="n">
        <v>0.03</v>
      </c>
      <c r="O20" s="164">
        <f>I43</f>
        <v/>
      </c>
      <c r="P20" s="42">
        <f>O20/E20</f>
        <v/>
      </c>
      <c r="Q20" s="162">
        <f>K20+O20</f>
        <v/>
      </c>
      <c r="R20" s="42">
        <f>L20+P20</f>
        <v/>
      </c>
    </row>
    <row r="21" ht="15" customHeight="1">
      <c r="A21" s="13" t="inlineStr">
        <is>
          <t>Fish</t>
        </is>
      </c>
      <c r="B21" s="171" t="n"/>
      <c r="C21" s="166" t="n">
        <v>0</v>
      </c>
      <c r="D21" s="167" t="n"/>
      <c r="E21" s="168" t="n"/>
      <c r="F21" s="169">
        <f>-B36</f>
        <v/>
      </c>
      <c r="G21" s="157">
        <f>B21+C21-D21+F21</f>
        <v/>
      </c>
      <c r="H21" s="161">
        <f>+E21-G21</f>
        <v/>
      </c>
      <c r="I21" s="63">
        <f>+H21/E21</f>
        <v/>
      </c>
      <c r="J21" s="39" t="n"/>
      <c r="K21" s="162">
        <f>E21*L21</f>
        <v/>
      </c>
      <c r="L21" s="40">
        <f>I21-J21</f>
        <v/>
      </c>
      <c r="M21" s="163">
        <f>E21*N21</f>
        <v/>
      </c>
      <c r="N21" s="40" t="n">
        <v>0.02</v>
      </c>
      <c r="O21" s="164">
        <f>I44</f>
        <v/>
      </c>
      <c r="P21" s="42">
        <f>O21/E21</f>
        <v/>
      </c>
      <c r="Q21" s="162">
        <f>K21+O21</f>
        <v/>
      </c>
      <c r="R21" s="42">
        <f>L21+P21</f>
        <v/>
      </c>
    </row>
    <row r="22" ht="15" customHeight="1">
      <c r="A22" s="13" t="inlineStr">
        <is>
          <t>Produce</t>
        </is>
      </c>
      <c r="B22" s="171" t="n"/>
      <c r="C22" s="172" t="n">
        <v>0</v>
      </c>
      <c r="D22" s="168" t="n"/>
      <c r="E22" s="168" t="n"/>
      <c r="F22" s="169">
        <f>-B29-B30</f>
        <v/>
      </c>
      <c r="G22" s="157">
        <f>B22+C22-D22+F22</f>
        <v/>
      </c>
      <c r="H22" s="161">
        <f>+E22-G22</f>
        <v/>
      </c>
      <c r="I22" s="63">
        <f>+H22/E22</f>
        <v/>
      </c>
      <c r="J22" s="39" t="n"/>
      <c r="K22" s="162">
        <f>E22*L22</f>
        <v/>
      </c>
      <c r="L22" s="40">
        <f>I22-J22</f>
        <v/>
      </c>
      <c r="M22" s="163">
        <f>E22*N22</f>
        <v/>
      </c>
      <c r="N22" s="40" t="n">
        <v>0.025</v>
      </c>
      <c r="O22" s="164">
        <f>I37</f>
        <v/>
      </c>
      <c r="P22" s="42">
        <f>O22/E22</f>
        <v/>
      </c>
      <c r="Q22" s="162">
        <f>K22+O22</f>
        <v/>
      </c>
      <c r="R22" s="42">
        <f>L22+P22</f>
        <v/>
      </c>
    </row>
    <row r="23" ht="15" customHeight="1">
      <c r="A23" s="13" t="inlineStr">
        <is>
          <t>Deli</t>
        </is>
      </c>
      <c r="B23" s="171" t="n"/>
      <c r="C23" s="172" t="n">
        <v>0</v>
      </c>
      <c r="D23" s="168" t="n"/>
      <c r="E23" s="168" t="n"/>
      <c r="F23" s="169">
        <f>D29+D32+D31+D34+D35+D36+D37</f>
        <v/>
      </c>
      <c r="G23" s="157">
        <f>B23+C23-D23+F23</f>
        <v/>
      </c>
      <c r="H23" s="161">
        <f>+E23-G23</f>
        <v/>
      </c>
      <c r="I23" s="63">
        <f>+H23/E23</f>
        <v/>
      </c>
      <c r="J23" s="39" t="n"/>
      <c r="K23" s="162">
        <f>E23*L23</f>
        <v/>
      </c>
      <c r="L23" s="40">
        <f>I23-J23</f>
        <v/>
      </c>
      <c r="M23" s="163">
        <f>E23*N23</f>
        <v/>
      </c>
      <c r="N23" s="40" t="n">
        <v>0.025</v>
      </c>
      <c r="O23" s="164">
        <f>I47</f>
        <v/>
      </c>
      <c r="P23" s="42">
        <f>O23/E23</f>
        <v/>
      </c>
      <c r="Q23" s="162">
        <f>K23+O23</f>
        <v/>
      </c>
      <c r="R23" s="42">
        <f>L23+P23</f>
        <v/>
      </c>
    </row>
    <row r="24" ht="15.75" customHeight="1" thickBot="1">
      <c r="A24" s="14" t="inlineStr">
        <is>
          <t>Provisions</t>
        </is>
      </c>
      <c r="B24" s="173" t="n"/>
      <c r="C24" s="174" t="n">
        <v>0</v>
      </c>
      <c r="D24" s="175" t="n"/>
      <c r="E24" s="168" t="n"/>
      <c r="F24" s="169">
        <f>-B33-B37</f>
        <v/>
      </c>
      <c r="G24" s="157">
        <f>B24+C24-D24+F24</f>
        <v/>
      </c>
      <c r="H24" s="161">
        <f>+E24-G24</f>
        <v/>
      </c>
      <c r="I24" s="63">
        <f>+H24/E24</f>
        <v/>
      </c>
      <c r="J24" s="39" t="n"/>
      <c r="K24" s="162">
        <f>E24*L24</f>
        <v/>
      </c>
      <c r="L24" s="40">
        <f>I24-J24</f>
        <v/>
      </c>
      <c r="M24" s="163">
        <f>E24*N24</f>
        <v/>
      </c>
      <c r="N24" s="40" t="n">
        <v>0.02</v>
      </c>
      <c r="O24" s="164">
        <f>I48</f>
        <v/>
      </c>
      <c r="P24" s="42">
        <f>O24/E24</f>
        <v/>
      </c>
      <c r="Q24" s="162">
        <f>K24+O24</f>
        <v/>
      </c>
      <c r="R24" s="42">
        <f>L24+P24</f>
        <v/>
      </c>
    </row>
    <row r="25" ht="15.75" customHeight="1" thickBot="1">
      <c r="B25" s="176">
        <f>SUM(B13:B24)-B15</f>
        <v/>
      </c>
      <c r="C25" s="176">
        <f>SUM(C13:C24)-C15</f>
        <v/>
      </c>
      <c r="D25" s="176">
        <f>SUM(D13:D24)-D15</f>
        <v/>
      </c>
      <c r="E25" s="176">
        <f>SUM(E13:E24)-E15</f>
        <v/>
      </c>
      <c r="F25" s="176">
        <f>SUM(F13:F24)-F15</f>
        <v/>
      </c>
      <c r="G25" s="176">
        <f>SUM(G13:G24)-G15</f>
        <v/>
      </c>
      <c r="H25" s="176">
        <f>SUM(H13:H24)-H15</f>
        <v/>
      </c>
      <c r="I25" s="63" t="n"/>
      <c r="J25" s="40" t="n"/>
      <c r="K25" s="177">
        <f>SUM(K13:K24)</f>
        <v/>
      </c>
      <c r="L25" s="40" t="n"/>
      <c r="M25" s="178">
        <f>SUM(M13:M24)</f>
        <v/>
      </c>
      <c r="N25" s="40" t="n"/>
      <c r="O25" s="179">
        <f>SUM(O13:O24)-O15</f>
        <v/>
      </c>
      <c r="P25" s="27" t="n"/>
      <c r="Q25" s="177">
        <f>SUM(Q13:Q24)</f>
        <v/>
      </c>
      <c r="R25" s="42" t="n"/>
    </row>
    <row r="26" ht="15" customHeight="1" thickBot="1">
      <c r="O26" s="29" t="n"/>
    </row>
    <row r="27" ht="15" customHeight="1">
      <c r="A27" s="131" t="inlineStr">
        <is>
          <t>Transfers</t>
        </is>
      </c>
      <c r="B27" s="180" t="n"/>
      <c r="C27" s="180" t="n"/>
      <c r="D27" s="181" t="n"/>
      <c r="E27" s="182" t="n"/>
      <c r="F27" s="182" t="n"/>
      <c r="H27" s="183" t="inlineStr">
        <is>
          <t>Weekly Waste Reports</t>
        </is>
      </c>
      <c r="I27" s="143" t="n"/>
      <c r="J27" s="143" t="n"/>
      <c r="K27" s="143" t="n"/>
      <c r="L27" s="143" t="n"/>
      <c r="M27" s="143" t="n"/>
      <c r="N27" s="143" t="inlineStr">
        <is>
          <t>KNOWN v FCAST WASTE</t>
        </is>
      </c>
      <c r="O27" s="184" t="n"/>
    </row>
    <row r="28" ht="67.5" customHeight="1">
      <c r="A28" s="109" t="inlineStr">
        <is>
          <t>From</t>
        </is>
      </c>
      <c r="B28" s="9" t="inlineStr">
        <is>
          <t>Amount</t>
        </is>
      </c>
      <c r="C28" s="9" t="inlineStr">
        <is>
          <t>To</t>
        </is>
      </c>
      <c r="D28" s="9" t="inlineStr">
        <is>
          <t>To</t>
        </is>
      </c>
      <c r="E28" s="182" t="n"/>
      <c r="F28" s="182" t="n"/>
      <c r="H28" s="31" t="inlineStr">
        <is>
          <t>Dept</t>
        </is>
      </c>
      <c r="I28" s="31" t="inlineStr">
        <is>
          <t>€ ( CT )</t>
        </is>
      </c>
      <c r="J28" s="31" t="inlineStr">
        <is>
          <t>Explanation for large figure</t>
        </is>
      </c>
      <c r="K28" s="31" t="n"/>
      <c r="L28" s="31" t="n"/>
      <c r="M28" s="31" t="n"/>
      <c r="N28" s="185">
        <f>O25-M25</f>
        <v/>
      </c>
      <c r="O28" s="72">
        <f>N28/M25</f>
        <v/>
      </c>
    </row>
    <row r="29" ht="23.25" customHeight="1">
      <c r="A29" s="109" t="inlineStr">
        <is>
          <t>Produce</t>
        </is>
      </c>
      <c r="B29" s="186" t="n"/>
      <c r="C29" s="187" t="inlineStr">
        <is>
          <t>Deli</t>
        </is>
      </c>
      <c r="D29" s="188">
        <f>B29</f>
        <v/>
      </c>
      <c r="E29" s="182" t="n"/>
      <c r="F29" s="182" t="n"/>
      <c r="I29" s="31" t="n"/>
      <c r="J29" s="31" t="n"/>
      <c r="K29" s="31" t="n"/>
      <c r="L29" s="31" t="n"/>
      <c r="M29" s="31" t="n"/>
      <c r="N29" s="31" t="n"/>
      <c r="O29" s="32" t="n"/>
      <c r="P29" s="29" t="n"/>
    </row>
    <row r="30" ht="15" customHeight="1">
      <c r="A30" s="109" t="inlineStr">
        <is>
          <t>Produce</t>
        </is>
      </c>
      <c r="B30" s="186" t="n"/>
      <c r="C30" s="187" t="inlineStr">
        <is>
          <t>Meat</t>
        </is>
      </c>
      <c r="D30" s="188">
        <f>B30</f>
        <v/>
      </c>
      <c r="E30" s="182" t="n"/>
      <c r="F30" s="182" t="n"/>
      <c r="H30" s="27" t="inlineStr">
        <is>
          <t>D0024 - Grocery Impulse</t>
        </is>
      </c>
      <c r="I30" s="189" t="n"/>
      <c r="J30" s="27" t="n"/>
    </row>
    <row r="31" ht="15" customHeight="1">
      <c r="A31" s="109" t="inlineStr">
        <is>
          <t>Fresh Bakery</t>
        </is>
      </c>
      <c r="B31" s="186" t="n"/>
      <c r="C31" s="187" t="inlineStr">
        <is>
          <t>Deli</t>
        </is>
      </c>
      <c r="D31" s="188">
        <f>B31</f>
        <v/>
      </c>
      <c r="E31" s="182" t="n"/>
      <c r="F31" s="182" t="n"/>
      <c r="H31" s="27" t="inlineStr">
        <is>
          <t>D0025 - Grocery Edible</t>
        </is>
      </c>
      <c r="I31" s="189" t="n"/>
      <c r="J31" s="27" t="n"/>
    </row>
    <row r="32" ht="15" customHeight="1">
      <c r="A32" s="109" t="inlineStr">
        <is>
          <t>Scratch/Semi Bakery</t>
        </is>
      </c>
      <c r="B32" s="186" t="n"/>
      <c r="C32" s="187" t="inlineStr">
        <is>
          <t>Deli</t>
        </is>
      </c>
      <c r="D32" s="188">
        <f>B32</f>
        <v/>
      </c>
      <c r="E32" s="182" t="n"/>
      <c r="F32" s="182" t="n"/>
      <c r="H32" s="27" t="inlineStr">
        <is>
          <t>D0026 - Grocery Non Food</t>
        </is>
      </c>
      <c r="I32" s="189" t="n"/>
      <c r="J32" s="27" t="n"/>
    </row>
    <row r="33" ht="15" customHeight="1">
      <c r="A33" s="109" t="inlineStr">
        <is>
          <t>Provisions</t>
        </is>
      </c>
      <c r="B33" s="186" t="n"/>
      <c r="C33" s="187" t="inlineStr">
        <is>
          <t>Meat</t>
        </is>
      </c>
      <c r="D33" s="188">
        <f>B33</f>
        <v/>
      </c>
      <c r="E33" s="182" t="n"/>
      <c r="F33" s="182" t="n"/>
      <c r="H33" s="27" t="inlineStr">
        <is>
          <t>D0027 - Baby &amp; Kids</t>
        </is>
      </c>
      <c r="I33" s="189" t="n"/>
      <c r="J33" s="27" t="n"/>
    </row>
    <row r="34" ht="15" customHeight="1">
      <c r="A34" s="109" t="inlineStr">
        <is>
          <t>Meat</t>
        </is>
      </c>
      <c r="B34" s="186" t="n"/>
      <c r="C34" s="187" t="inlineStr">
        <is>
          <t>Deli</t>
        </is>
      </c>
      <c r="D34" s="188">
        <f>B34</f>
        <v/>
      </c>
      <c r="E34" s="182" t="n"/>
      <c r="F34" s="182" t="n"/>
      <c r="H34" s="27" t="inlineStr">
        <is>
          <t>D0028 - Personal Care</t>
        </is>
      </c>
      <c r="I34" s="189" t="n"/>
      <c r="J34" s="27" t="n"/>
    </row>
    <row r="35" ht="15" customHeight="1">
      <c r="A35" s="109" t="inlineStr">
        <is>
          <t>Poultry</t>
        </is>
      </c>
      <c r="B35" s="186" t="n"/>
      <c r="C35" s="187" t="inlineStr">
        <is>
          <t>Deli</t>
        </is>
      </c>
      <c r="D35" s="188">
        <f>B35</f>
        <v/>
      </c>
      <c r="E35" s="182" t="n"/>
      <c r="F35" s="182" t="n"/>
      <c r="H35" s="27" t="inlineStr">
        <is>
          <t>D0029 - Beers / Wines / Spirits</t>
        </is>
      </c>
      <c r="I35" s="189" t="n"/>
      <c r="J35" s="27" t="n"/>
    </row>
    <row r="36" ht="15" customHeight="1">
      <c r="A36" s="85" t="inlineStr">
        <is>
          <t>Fish</t>
        </is>
      </c>
      <c r="B36" s="190" t="n"/>
      <c r="C36" s="191" t="inlineStr">
        <is>
          <t>Deli</t>
        </is>
      </c>
      <c r="D36" s="188">
        <f>B36</f>
        <v/>
      </c>
      <c r="E36" s="182" t="n"/>
      <c r="F36" s="182" t="n"/>
      <c r="H36" s="27" t="inlineStr">
        <is>
          <t>D0031 - Cigs</t>
        </is>
      </c>
      <c r="I36" s="189" t="n"/>
      <c r="J36" s="27" t="n"/>
    </row>
    <row r="37" ht="15.75" customHeight="1" thickBot="1">
      <c r="A37" s="129" t="inlineStr">
        <is>
          <t>Provisions</t>
        </is>
      </c>
      <c r="B37" s="192" t="n"/>
      <c r="C37" s="193" t="inlineStr">
        <is>
          <t>Deli</t>
        </is>
      </c>
      <c r="D37" s="188">
        <f>B37</f>
        <v/>
      </c>
      <c r="E37" s="182" t="n"/>
      <c r="F37" s="182" t="n"/>
      <c r="H37" s="27" t="inlineStr">
        <is>
          <t>D0032 - Produce</t>
        </is>
      </c>
      <c r="I37" s="189" t="n"/>
      <c r="J37" s="27" t="n"/>
    </row>
    <row r="38">
      <c r="E38" s="182" t="n"/>
      <c r="F38" s="182" t="n"/>
      <c r="H38" s="27" t="inlineStr">
        <is>
          <t>D0033 - Meat , Poultry , Fish</t>
        </is>
      </c>
      <c r="I38" s="162">
        <f>SUM(I39:I44)</f>
        <v/>
      </c>
      <c r="J38" s="27" t="n"/>
    </row>
    <row r="39" ht="15" customHeight="1" thickBot="1">
      <c r="E39" s="182" t="n"/>
      <c r="F39" s="182" t="n"/>
      <c r="H39" s="68" t="inlineStr">
        <is>
          <t>- Beef</t>
        </is>
      </c>
      <c r="I39" s="189" t="n"/>
      <c r="J39" s="27" t="n"/>
    </row>
    <row r="40" ht="15.75" customHeight="1" thickBot="1">
      <c r="A40" s="78" t="n"/>
      <c r="B40" s="79" t="inlineStr">
        <is>
          <t>Out of Stock</t>
        </is>
      </c>
      <c r="C40" s="79" t="n"/>
      <c r="D40" s="115" t="inlineStr">
        <is>
          <t>No - Home Del's</t>
        </is>
      </c>
      <c r="E40" s="194" t="inlineStr">
        <is>
          <t>Shorts/Overs</t>
        </is>
      </c>
      <c r="F40" s="195" t="inlineStr">
        <is>
          <t>Comments</t>
        </is>
      </c>
      <c r="H40" s="68" t="inlineStr">
        <is>
          <t>- Lamb</t>
        </is>
      </c>
      <c r="I40" s="189" t="n"/>
      <c r="J40" s="27" t="n"/>
    </row>
    <row r="41" ht="15" customHeight="1">
      <c r="A41" s="18" t="n"/>
      <c r="B41" s="99" t="n"/>
      <c r="C41" s="15" t="inlineStr">
        <is>
          <t>Sunday</t>
        </is>
      </c>
      <c r="D41" s="46" t="n"/>
      <c r="E41" s="158" t="n"/>
      <c r="F41" s="196" t="n"/>
      <c r="H41" s="68" t="inlineStr">
        <is>
          <t>- Pork</t>
        </is>
      </c>
      <c r="I41" s="189" t="n"/>
      <c r="J41" s="27" t="n"/>
    </row>
    <row r="42" ht="15" customHeight="1">
      <c r="A42" s="13" t="inlineStr">
        <is>
          <t>Monday</t>
        </is>
      </c>
      <c r="B42" s="51" t="n"/>
      <c r="C42" s="15" t="inlineStr">
        <is>
          <t>Monday</t>
        </is>
      </c>
      <c r="D42" s="47" t="n"/>
      <c r="E42" s="167" t="n"/>
      <c r="F42" s="197" t="n"/>
      <c r="H42" s="68" t="inlineStr">
        <is>
          <t>- Bacon</t>
        </is>
      </c>
      <c r="I42" s="189" t="n"/>
      <c r="J42" s="27" t="n"/>
    </row>
    <row r="43" ht="15" customHeight="1">
      <c r="A43" s="13" t="n"/>
      <c r="B43" s="27" t="n"/>
      <c r="C43" s="15" t="inlineStr">
        <is>
          <t>Tuesday</t>
        </is>
      </c>
      <c r="D43" s="47" t="n"/>
      <c r="E43" s="167" t="n"/>
      <c r="F43" s="197" t="n"/>
      <c r="H43" s="68" t="inlineStr">
        <is>
          <t>- Poultry</t>
        </is>
      </c>
      <c r="I43" s="189" t="n"/>
      <c r="J43" s="27" t="n"/>
    </row>
    <row r="44" ht="15" customHeight="1">
      <c r="A44" s="13" t="inlineStr">
        <is>
          <t>Wednesday</t>
        </is>
      </c>
      <c r="B44" s="51" t="n"/>
      <c r="C44" s="15" t="inlineStr">
        <is>
          <t>Wednesday</t>
        </is>
      </c>
      <c r="D44" s="47" t="n"/>
      <c r="E44" s="167" t="n"/>
      <c r="F44" s="197" t="n"/>
      <c r="H44" s="68" t="inlineStr">
        <is>
          <t>- Fish</t>
        </is>
      </c>
      <c r="I44" s="189" t="n"/>
      <c r="J44" s="27" t="n"/>
    </row>
    <row r="45" ht="15" customHeight="1">
      <c r="A45" s="13" t="n"/>
      <c r="B45" s="27" t="n"/>
      <c r="C45" s="15" t="inlineStr">
        <is>
          <t>Thursday</t>
        </is>
      </c>
      <c r="D45" s="47" t="n"/>
      <c r="E45" s="167" t="n"/>
      <c r="F45" s="197" t="n"/>
      <c r="H45" s="27" t="inlineStr">
        <is>
          <t>D0034 - Dairy</t>
        </is>
      </c>
      <c r="I45" s="189" t="n"/>
      <c r="J45" s="27" t="n"/>
    </row>
    <row r="46" ht="15" customHeight="1">
      <c r="A46" s="13" t="inlineStr">
        <is>
          <t>Friday</t>
        </is>
      </c>
      <c r="B46" s="51" t="n"/>
      <c r="C46" s="15" t="inlineStr">
        <is>
          <t>Friday</t>
        </is>
      </c>
      <c r="D46" s="47" t="n"/>
      <c r="E46" s="167" t="n"/>
      <c r="F46" s="197" t="n"/>
      <c r="H46" s="27" t="inlineStr">
        <is>
          <t>D0035 - Bread &amp; Cakes</t>
        </is>
      </c>
      <c r="I46" s="189" t="n"/>
      <c r="J46" s="27" t="n"/>
    </row>
    <row r="47" ht="15.75" customHeight="1" thickBot="1">
      <c r="A47" s="16" t="n"/>
      <c r="B47" s="97" t="n"/>
      <c r="C47" s="17" t="inlineStr">
        <is>
          <t>Saturday</t>
        </is>
      </c>
      <c r="D47" s="48" t="n"/>
      <c r="E47" s="198" t="n"/>
      <c r="F47" s="199" t="n"/>
      <c r="H47" s="27" t="inlineStr">
        <is>
          <t>D0036 - Deli</t>
        </is>
      </c>
      <c r="I47" s="189" t="n"/>
      <c r="J47" s="27" t="n"/>
    </row>
    <row r="48" ht="15.75" customHeight="1" thickBot="1">
      <c r="A48" s="22" t="inlineStr">
        <is>
          <t>Average</t>
        </is>
      </c>
      <c r="B48" s="200">
        <f>(B42+B44+B46)/3</f>
        <v/>
      </c>
      <c r="C48" s="23" t="inlineStr">
        <is>
          <t>Total</t>
        </is>
      </c>
      <c r="D48" s="21">
        <f>SUM(D41:D47)</f>
        <v/>
      </c>
      <c r="E48" s="201">
        <f>SUM(E41:E47)</f>
        <v/>
      </c>
      <c r="F48" s="202" t="n"/>
      <c r="H48" s="27" t="inlineStr">
        <is>
          <t>D0037 - Provisions</t>
        </is>
      </c>
      <c r="I48" s="189" t="n"/>
      <c r="J48" s="27" t="n"/>
    </row>
    <row r="49">
      <c r="E49" s="203" t="n"/>
      <c r="F49" s="203" t="n"/>
      <c r="H49" s="27" t="inlineStr">
        <is>
          <t>D0038 - Frozen Foods</t>
        </is>
      </c>
      <c r="I49" s="189" t="n"/>
      <c r="J49" s="27" t="n"/>
    </row>
    <row r="50" ht="15" customHeight="1" thickBot="1">
      <c r="E50" s="69" t="n"/>
      <c r="F50" s="69" t="n"/>
      <c r="H50" s="27" t="inlineStr">
        <is>
          <t>D0039 - Non Food Retail</t>
        </is>
      </c>
      <c r="I50" s="189" t="n"/>
      <c r="J50" s="27" t="n"/>
    </row>
    <row r="51" ht="15.75" customHeight="1" thickBot="1">
      <c r="A51" s="114" t="inlineStr">
        <is>
          <t>Customer Information</t>
        </is>
      </c>
      <c r="B51" s="147" t="n"/>
      <c r="C51" s="56" t="inlineStr">
        <is>
          <t>Comments</t>
        </is>
      </c>
      <c r="D51" s="145" t="n"/>
      <c r="E51" s="146" t="n"/>
      <c r="F51" s="143" t="n"/>
      <c r="H51" s="27" t="inlineStr">
        <is>
          <t>D0047 - InStore Services</t>
        </is>
      </c>
      <c r="I51" s="189" t="n"/>
      <c r="J51" s="27" t="n"/>
    </row>
    <row r="52" ht="15" customHeight="1">
      <c r="A52" s="25" t="inlineStr">
        <is>
          <t>No of Customers</t>
        </is>
      </c>
      <c r="B52" s="204" t="n"/>
      <c r="C52" s="205" t="n"/>
      <c r="D52" s="206" t="n"/>
      <c r="E52" s="148" t="n"/>
      <c r="I52" s="207" t="n"/>
    </row>
    <row r="53" ht="15.75" customHeight="1" thickBot="1">
      <c r="A53" s="13" t="inlineStr">
        <is>
          <t>Average Spend</t>
        </is>
      </c>
      <c r="B53" s="208" t="n"/>
      <c r="C53" s="209" t="n"/>
      <c r="D53" s="210" t="n"/>
      <c r="E53" s="211" t="n"/>
      <c r="G53" s="143" t="n"/>
      <c r="H53" s="76" t="inlineStr">
        <is>
          <t>Total Weekly Waste</t>
        </is>
      </c>
      <c r="I53" s="212">
        <f>SUM(I30:I52)-I38</f>
        <v/>
      </c>
      <c r="J53" s="143" t="n"/>
      <c r="K53" s="143" t="n"/>
      <c r="L53" s="143" t="n"/>
      <c r="M53" s="143" t="n"/>
      <c r="N53" s="143" t="n"/>
      <c r="O53" s="143" t="n"/>
    </row>
    <row r="54" ht="15" customHeight="1">
      <c r="A54" s="13" t="inlineStr">
        <is>
          <t>No of Complaints</t>
        </is>
      </c>
      <c r="B54" s="96" t="n"/>
      <c r="C54" s="209" t="n"/>
      <c r="D54" s="210" t="n"/>
      <c r="E54" s="211" t="n"/>
    </row>
    <row r="55" ht="15" customHeight="1">
      <c r="A55" s="13" t="inlineStr">
        <is>
          <t>Accidents Reported</t>
        </is>
      </c>
      <c r="B55" s="11" t="n">
        <v>0</v>
      </c>
      <c r="C55" s="209" t="n"/>
      <c r="D55" s="210" t="n"/>
      <c r="E55" s="211" t="n"/>
    </row>
    <row r="56" ht="15.75" customHeight="1" thickBot="1">
      <c r="A56" s="14" t="inlineStr">
        <is>
          <t>Near Misses</t>
        </is>
      </c>
      <c r="B56" s="12" t="n">
        <v>0</v>
      </c>
      <c r="C56" s="213" t="n"/>
      <c r="D56" s="214" t="n"/>
      <c r="E56" s="215" t="n"/>
      <c r="G56" s="143" t="n"/>
    </row>
    <row r="57">
      <c r="G57" s="138" t="n"/>
    </row>
    <row r="58">
      <c r="G58" s="138" t="n"/>
    </row>
    <row r="59">
      <c r="G59" s="138" t="n"/>
    </row>
    <row r="60">
      <c r="G60" s="138" t="n"/>
    </row>
    <row r="61">
      <c r="G61" s="138" t="n"/>
    </row>
    <row r="62">
      <c r="G62" s="207" t="n"/>
    </row>
    <row r="63">
      <c r="G63" s="138" t="n"/>
    </row>
    <row r="64">
      <c r="G64" s="138" t="n"/>
    </row>
    <row r="66" ht="15" customHeight="1">
      <c r="G66" s="143" t="n"/>
    </row>
    <row r="67" ht="15" customFormat="1" customHeight="1" s="138">
      <c r="A67" s="1" t="n"/>
      <c r="B67" s="1" t="n"/>
      <c r="C67" s="1" t="n"/>
      <c r="G67" s="143" t="n"/>
      <c r="H67" s="143" t="n"/>
      <c r="I67" s="143" t="n"/>
      <c r="J67" s="143" t="n"/>
      <c r="K67" s="143" t="n"/>
      <c r="L67" s="143" t="n"/>
      <c r="M67" s="143" t="n"/>
      <c r="N67" s="143" t="n"/>
    </row>
  </sheetData>
  <mergeCells count="28">
    <mergeCell ref="C54:E54"/>
    <mergeCell ref="D3:G3"/>
    <mergeCell ref="B7:C7"/>
    <mergeCell ref="C55:E55"/>
    <mergeCell ref="G57:O57"/>
    <mergeCell ref="A51:B51"/>
    <mergeCell ref="G62:O62"/>
    <mergeCell ref="C56:E56"/>
    <mergeCell ref="C51:E51"/>
    <mergeCell ref="D6:E6"/>
    <mergeCell ref="C52:E52"/>
    <mergeCell ref="G58:O58"/>
    <mergeCell ref="G64:O64"/>
    <mergeCell ref="D7:E7"/>
    <mergeCell ref="G63:O63"/>
    <mergeCell ref="C53:E53"/>
    <mergeCell ref="G60:O60"/>
    <mergeCell ref="D4:E4"/>
    <mergeCell ref="G56:O56"/>
    <mergeCell ref="B9:C9"/>
    <mergeCell ref="D9:E9"/>
    <mergeCell ref="G59:O59"/>
    <mergeCell ref="D8:E8"/>
    <mergeCell ref="A27:D27"/>
    <mergeCell ref="D5:E5"/>
    <mergeCell ref="G61:O61"/>
    <mergeCell ref="A1:O1"/>
    <mergeCell ref="B4:C4"/>
  </mergeCells>
  <pageMargins left="0.7086614173228347" right="0.7086614173228347" top="0.7480314960629921" bottom="0.7480314960629921" header="0.3149606299212598" footer="0.3149606299212598"/>
  <pageSetup orientation="landscape" scale="3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7"/>
  <sheetViews>
    <sheetView tabSelected="1" topLeftCell="A10" workbookViewId="0">
      <selection activeCell="B25" sqref="B25"/>
    </sheetView>
  </sheetViews>
  <sheetFormatPr baseColWidth="8" defaultRowHeight="14.25"/>
  <cols>
    <col width="26.42578125" customWidth="1" style="1" min="1" max="1"/>
    <col width="15.140625" customWidth="1" style="1" min="2" max="2"/>
    <col width="16.5703125" customWidth="1" style="1" min="3" max="3"/>
    <col width="19.42578125" customWidth="1" style="138" min="4" max="4"/>
    <col width="14.28515625" customWidth="1" style="138" min="5" max="6"/>
    <col width="15.5703125" customWidth="1" style="138" min="7" max="7"/>
    <col width="30.5703125" customWidth="1" style="138" min="8" max="8"/>
    <col width="22.140625" customWidth="1" style="138" min="9" max="14"/>
    <col width="14.85546875" customWidth="1" style="138" min="15" max="15"/>
    <col width="17.42578125" customWidth="1" style="138" min="16" max="16"/>
    <col width="23.7109375" customWidth="1" style="138" min="17" max="17"/>
    <col width="24.42578125" customWidth="1" style="138" min="18" max="18"/>
    <col width="9.140625" customWidth="1" style="1" min="19" max="16384"/>
  </cols>
  <sheetData>
    <row r="1" ht="18.75" customHeight="1" thickBot="1">
      <c r="A1" s="144" t="inlineStr">
        <is>
          <t>PLEASE ONLY FILL IN THE YELLOW BOXES - ALL OTHERS ARE FORMULA DRIVEN !!!</t>
        </is>
      </c>
      <c r="B1" s="145" t="n"/>
      <c r="C1" s="145" t="n"/>
      <c r="D1" s="145" t="n"/>
      <c r="E1" s="145" t="n"/>
      <c r="F1" s="145" t="n"/>
      <c r="G1" s="145" t="n"/>
      <c r="H1" s="145" t="n"/>
      <c r="I1" s="145" t="n"/>
      <c r="J1" s="145" t="n"/>
      <c r="K1" s="145" t="n"/>
      <c r="L1" s="145" t="n"/>
      <c r="M1" s="145" t="n"/>
      <c r="N1" s="145" t="n"/>
      <c r="O1" s="146" t="n"/>
    </row>
    <row r="2" ht="15" customHeight="1" thickBo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5.75" customHeight="1" thickBot="1">
      <c r="A3" s="3" t="n"/>
      <c r="D3" s="114" t="inlineStr">
        <is>
          <t>Week at a Glance</t>
        </is>
      </c>
      <c r="E3" s="145" t="n"/>
      <c r="F3" s="145" t="n"/>
      <c r="G3" s="147" t="n"/>
    </row>
    <row r="4" ht="15" customHeight="1">
      <c r="A4" s="4" t="inlineStr">
        <is>
          <t>Store:</t>
        </is>
      </c>
      <c r="B4" s="119" t="inlineStr">
        <is>
          <t>Skerries</t>
        </is>
      </c>
      <c r="C4" s="148" t="n"/>
      <c r="D4" s="120" t="inlineStr">
        <is>
          <t>Weekly Sales Figure (Inc V.A.T)</t>
        </is>
      </c>
      <c r="E4" s="149" t="n"/>
      <c r="F4" s="81" t="n"/>
      <c r="G4" s="150" t="n"/>
    </row>
    <row r="5" ht="15" customHeight="1">
      <c r="A5" s="5" t="n"/>
      <c r="B5" s="138" t="n"/>
      <c r="C5" s="138" t="n"/>
      <c r="D5" s="120" t="inlineStr">
        <is>
          <t>Weekly Sales Figure (Excl V.A.T)</t>
        </is>
      </c>
      <c r="E5" s="149" t="n"/>
      <c r="F5" s="81" t="n"/>
      <c r="G5" s="150" t="n"/>
    </row>
    <row r="6" ht="15" customHeight="1">
      <c r="A6" s="5" t="n"/>
      <c r="B6" s="6" t="n"/>
      <c r="D6" s="109" t="inlineStr">
        <is>
          <t xml:space="preserve">Margins </t>
        </is>
      </c>
      <c r="E6" s="151" t="n"/>
      <c r="F6" s="82" t="n"/>
      <c r="G6" s="38" t="n"/>
    </row>
    <row r="7" ht="15" customHeight="1">
      <c r="A7" s="4" t="inlineStr">
        <is>
          <t>Prepared By:</t>
        </is>
      </c>
      <c r="B7" s="126" t="inlineStr">
        <is>
          <t>AD</t>
        </is>
      </c>
      <c r="C7" s="148" t="n"/>
      <c r="D7" s="109" t="inlineStr">
        <is>
          <t>Waste</t>
        </is>
      </c>
      <c r="E7" s="151" t="n"/>
      <c r="F7" s="82" t="n"/>
      <c r="G7" s="152">
        <f>I53</f>
        <v/>
      </c>
    </row>
    <row r="8" ht="15" customHeight="1">
      <c r="B8" s="6" t="n"/>
      <c r="D8" s="109" t="inlineStr">
        <is>
          <t>FCAST Payroll € per Timepoint</t>
        </is>
      </c>
      <c r="E8" s="151" t="n"/>
      <c r="F8" s="82" t="n"/>
      <c r="G8" s="153" t="n"/>
    </row>
    <row r="9" ht="15.75" customHeight="1" thickBot="1">
      <c r="A9" s="4" t="inlineStr">
        <is>
          <t>Week Ending:</t>
        </is>
      </c>
      <c r="B9" s="128" t="inlineStr">
        <is>
          <t>20.10.18</t>
        </is>
      </c>
      <c r="C9" s="148" t="n"/>
      <c r="D9" s="129" t="inlineStr">
        <is>
          <t>ACT Payroll € per Timepoint</t>
        </is>
      </c>
      <c r="E9" s="154" t="n"/>
      <c r="F9" s="83" t="n"/>
      <c r="G9" s="155" t="n"/>
      <c r="H9" s="143" t="n"/>
      <c r="I9" s="143" t="n"/>
      <c r="J9" s="143" t="n"/>
      <c r="K9" s="143" t="n"/>
      <c r="L9" s="143" t="n"/>
      <c r="M9" s="143" t="n"/>
      <c r="N9" s="143" t="n"/>
      <c r="O9" s="143" t="n"/>
    </row>
    <row r="10" ht="11.25" customHeight="1">
      <c r="A10" s="5" t="n"/>
      <c r="B10" s="5" t="n"/>
      <c r="D10" s="143" t="n"/>
      <c r="E10" s="143" t="n"/>
      <c r="F10" s="143" t="n"/>
      <c r="G10" s="143" t="n"/>
      <c r="H10" s="143" t="n"/>
      <c r="I10" s="143" t="n"/>
      <c r="J10" s="143" t="n"/>
      <c r="K10" s="143" t="n"/>
      <c r="L10" s="143" t="n"/>
      <c r="M10" s="143" t="n"/>
      <c r="N10" s="143" t="n"/>
      <c r="O10" s="143" t="n"/>
    </row>
    <row r="11" ht="15" customHeight="1" thickBot="1">
      <c r="O11" s="29" t="n"/>
    </row>
    <row r="12" ht="45.75" customHeight="1" thickBot="1">
      <c r="A12" s="55" t="inlineStr">
        <is>
          <t>Dept</t>
        </is>
      </c>
      <c r="B12" s="56" t="inlineStr">
        <is>
          <t>Purchases</t>
        </is>
      </c>
      <c r="C12" s="56" t="inlineStr">
        <is>
          <t>Opening Stock</t>
        </is>
      </c>
      <c r="D12" s="56" t="inlineStr">
        <is>
          <t>closing stock</t>
        </is>
      </c>
      <c r="E12" s="57" t="inlineStr">
        <is>
          <t>Sales excluding Vat</t>
        </is>
      </c>
      <c r="F12" s="57" t="inlineStr">
        <is>
          <t>Transfers</t>
        </is>
      </c>
      <c r="G12" s="56" t="inlineStr">
        <is>
          <t>Cost of Sales</t>
        </is>
      </c>
      <c r="H12" s="56" t="inlineStr">
        <is>
          <t xml:space="preserve">Profit </t>
        </is>
      </c>
      <c r="I12" s="56" t="inlineStr">
        <is>
          <t>ACT MARGIN</t>
        </is>
      </c>
      <c r="J12" s="58" t="inlineStr">
        <is>
          <t>SCAN MARGIN</t>
        </is>
      </c>
      <c r="K12" s="58" t="inlineStr">
        <is>
          <t xml:space="preserve">Var € + /  - </t>
        </is>
      </c>
      <c r="L12" s="58" t="inlineStr">
        <is>
          <t>Var % + / -</t>
        </is>
      </c>
      <c r="M12" s="58" t="inlineStr">
        <is>
          <t>FCAST Waste €</t>
        </is>
      </c>
      <c r="N12" s="58" t="inlineStr">
        <is>
          <t>FCAST Waste %</t>
        </is>
      </c>
      <c r="O12" s="58" t="inlineStr">
        <is>
          <t>Known Waste</t>
        </is>
      </c>
      <c r="P12" s="58" t="inlineStr">
        <is>
          <t>Known Waste %</t>
        </is>
      </c>
      <c r="Q12" s="58" t="inlineStr">
        <is>
          <t>Waste to investigate €</t>
        </is>
      </c>
      <c r="R12" s="58" t="inlineStr">
        <is>
          <t>Waste to investigate %</t>
        </is>
      </c>
    </row>
    <row r="13" ht="15" customHeight="1">
      <c r="A13" s="25" t="inlineStr">
        <is>
          <t>Cigarettes</t>
        </is>
      </c>
      <c r="B13" s="156" t="n"/>
      <c r="C13" s="157" t="n"/>
      <c r="D13" s="158" t="n"/>
      <c r="E13" s="159" t="n"/>
      <c r="F13" s="160" t="n"/>
      <c r="G13" s="157">
        <f>B13+C13-D13+F13</f>
        <v/>
      </c>
      <c r="H13" s="161">
        <f>+E13-G13</f>
        <v/>
      </c>
      <c r="I13" s="63">
        <f>+H13/E13</f>
        <v/>
      </c>
      <c r="J13" s="39" t="n"/>
      <c r="K13" s="162">
        <f>E13*L13</f>
        <v/>
      </c>
      <c r="L13" s="40">
        <f>I13-J13</f>
        <v/>
      </c>
      <c r="M13" s="163">
        <f>E13*N13</f>
        <v/>
      </c>
      <c r="N13" s="40" t="n">
        <v>0.0005</v>
      </c>
      <c r="O13" s="164">
        <f>I36</f>
        <v/>
      </c>
      <c r="P13" s="42">
        <f>O13/E13</f>
        <v/>
      </c>
      <c r="Q13" s="162">
        <f>K13+O13</f>
        <v/>
      </c>
      <c r="R13" s="42">
        <f>L13+P13</f>
        <v/>
      </c>
    </row>
    <row r="14" ht="15" customHeight="1">
      <c r="A14" s="13" t="inlineStr">
        <is>
          <t>PBOB Produce</t>
        </is>
      </c>
      <c r="B14" s="165" t="n"/>
      <c r="C14" s="166" t="n"/>
      <c r="D14" s="167" t="n"/>
      <c r="E14" s="168" t="n"/>
      <c r="F14" s="169" t="n"/>
      <c r="G14" s="157">
        <f>B14+C14-D14+F14</f>
        <v/>
      </c>
      <c r="H14" s="161">
        <f>+E14-G14</f>
        <v/>
      </c>
      <c r="I14" s="63" t="n">
        <v>0</v>
      </c>
      <c r="J14" s="39" t="n"/>
      <c r="K14" s="162">
        <f>E14*L14</f>
        <v/>
      </c>
      <c r="L14" s="40">
        <f>I14-J14</f>
        <v/>
      </c>
      <c r="M14" s="163">
        <f>E14*N14</f>
        <v/>
      </c>
      <c r="N14" s="40" t="n"/>
      <c r="O14" s="164" t="n"/>
      <c r="P14" s="42">
        <f>O14/E14</f>
        <v/>
      </c>
      <c r="Q14" s="162">
        <f>K14+O14</f>
        <v/>
      </c>
      <c r="R14" s="42">
        <f>L14+P14</f>
        <v/>
      </c>
    </row>
    <row r="15" ht="15" customHeight="1">
      <c r="A15" s="13" t="inlineStr">
        <is>
          <t>Meat Poultry Fish</t>
        </is>
      </c>
      <c r="B15" s="170">
        <f>SUM(B16:B21)</f>
        <v/>
      </c>
      <c r="C15" s="170">
        <f>SUM(C16:C21)</f>
        <v/>
      </c>
      <c r="D15" s="170">
        <f>SUM(D16:D21)</f>
        <v/>
      </c>
      <c r="E15" s="170">
        <f>SUM(E16:E21)</f>
        <v/>
      </c>
      <c r="F15" s="170">
        <f>SUM(F16:F21)</f>
        <v/>
      </c>
      <c r="G15" s="170">
        <f>SUM(G16:G21)</f>
        <v/>
      </c>
      <c r="H15" s="170">
        <f>SUM(H16:H21)</f>
        <v/>
      </c>
      <c r="I15" s="63">
        <f>+H15/E15</f>
        <v/>
      </c>
      <c r="J15" s="39" t="n"/>
      <c r="K15" s="162">
        <f>E15*L15</f>
        <v/>
      </c>
      <c r="L15" s="40">
        <f>I15-J15</f>
        <v/>
      </c>
      <c r="M15" s="163">
        <f>E15*N15</f>
        <v/>
      </c>
      <c r="N15" s="40" t="n"/>
      <c r="O15" s="164">
        <f>SUM(O16:O21)</f>
        <v/>
      </c>
      <c r="P15" s="42">
        <f>O15/E15</f>
        <v/>
      </c>
      <c r="Q15" s="162">
        <f>K15+O15</f>
        <v/>
      </c>
      <c r="R15" s="42">
        <f>L15+P15</f>
        <v/>
      </c>
    </row>
    <row r="16" ht="15" customHeight="1">
      <c r="A16" s="13" t="inlineStr">
        <is>
          <t>Beef</t>
        </is>
      </c>
      <c r="B16" s="165" t="n"/>
      <c r="C16" s="166" t="n"/>
      <c r="D16" s="167" t="n"/>
      <c r="E16" s="168" t="n"/>
      <c r="F16" s="169">
        <f>-B34+D30+D33</f>
        <v/>
      </c>
      <c r="G16" s="157">
        <f>B16+C16-D16+F16</f>
        <v/>
      </c>
      <c r="H16" s="161">
        <f>+E16-G16</f>
        <v/>
      </c>
      <c r="I16" s="63">
        <f>+H16/E16</f>
        <v/>
      </c>
      <c r="J16" s="39" t="n"/>
      <c r="K16" s="162">
        <f>E16*L16</f>
        <v/>
      </c>
      <c r="L16" s="40">
        <f>I16-J16</f>
        <v/>
      </c>
      <c r="M16" s="163">
        <f>E16*N16</f>
        <v/>
      </c>
      <c r="N16" s="40" t="n">
        <v>0.03</v>
      </c>
      <c r="O16" s="164">
        <f>I39</f>
        <v/>
      </c>
      <c r="P16" s="42">
        <f>O16/E16</f>
        <v/>
      </c>
      <c r="Q16" s="162">
        <f>K16+O16</f>
        <v/>
      </c>
      <c r="R16" s="42">
        <f>L16+P16</f>
        <v/>
      </c>
    </row>
    <row r="17" ht="15" customHeight="1">
      <c r="A17" s="13" t="inlineStr">
        <is>
          <t>Lamb</t>
        </is>
      </c>
      <c r="B17" s="171" t="n"/>
      <c r="C17" s="172" t="n"/>
      <c r="D17" s="168" t="n"/>
      <c r="E17" s="168" t="n"/>
      <c r="F17" s="169" t="n"/>
      <c r="G17" s="157">
        <f>B17+C17-D17+F17</f>
        <v/>
      </c>
      <c r="H17" s="161">
        <f>+E17-G17</f>
        <v/>
      </c>
      <c r="I17" s="63">
        <f>+H17/E17</f>
        <v/>
      </c>
      <c r="J17" s="39" t="n"/>
      <c r="K17" s="162">
        <f>E17*L17</f>
        <v/>
      </c>
      <c r="L17" s="40">
        <f>I17-J17</f>
        <v/>
      </c>
      <c r="M17" s="163">
        <f>E17*N17</f>
        <v/>
      </c>
      <c r="N17" s="40" t="n">
        <v>0.02</v>
      </c>
      <c r="O17" s="164">
        <f>I40</f>
        <v/>
      </c>
      <c r="P17" s="42">
        <f>O17/E17</f>
        <v/>
      </c>
      <c r="Q17" s="162">
        <f>K17+O17</f>
        <v/>
      </c>
      <c r="R17" s="42">
        <f>L17+P17</f>
        <v/>
      </c>
    </row>
    <row r="18" ht="15" customHeight="1">
      <c r="A18" s="13" t="inlineStr">
        <is>
          <t>Pork</t>
        </is>
      </c>
      <c r="B18" s="171" t="n"/>
      <c r="C18" s="166" t="n"/>
      <c r="D18" s="167" t="n"/>
      <c r="E18" s="168" t="n"/>
      <c r="F18" s="169" t="n"/>
      <c r="G18" s="157">
        <f>B18+C18-D18+F18</f>
        <v/>
      </c>
      <c r="H18" s="161">
        <f>+E18-G18</f>
        <v/>
      </c>
      <c r="I18" s="63">
        <f>+H18/E18</f>
        <v/>
      </c>
      <c r="J18" s="39" t="n"/>
      <c r="K18" s="162">
        <f>E18*L18</f>
        <v/>
      </c>
      <c r="L18" s="40">
        <f>I18-J18</f>
        <v/>
      </c>
      <c r="M18" s="163">
        <f>E18*N18</f>
        <v/>
      </c>
      <c r="N18" s="40" t="n">
        <v>0.015</v>
      </c>
      <c r="O18" s="164">
        <f>I41</f>
        <v/>
      </c>
      <c r="P18" s="42">
        <f>O18/E18</f>
        <v/>
      </c>
      <c r="Q18" s="162">
        <f>K18+O18</f>
        <v/>
      </c>
      <c r="R18" s="42">
        <f>L18+P18</f>
        <v/>
      </c>
    </row>
    <row r="19" ht="15" customHeight="1">
      <c r="A19" s="13" t="inlineStr">
        <is>
          <t>Bacon &amp; Loose S.R.P</t>
        </is>
      </c>
      <c r="B19" s="171" t="n"/>
      <c r="C19" s="166" t="n"/>
      <c r="D19" s="167" t="n"/>
      <c r="E19" s="168" t="n"/>
      <c r="F19" s="169" t="n"/>
      <c r="G19" s="157">
        <f>B19+C19-D19+F19</f>
        <v/>
      </c>
      <c r="H19" s="161">
        <f>+E19-G19</f>
        <v/>
      </c>
      <c r="I19" s="63">
        <f>+H19/E19</f>
        <v/>
      </c>
      <c r="J19" s="39" t="n"/>
      <c r="K19" s="162">
        <f>E19*L19</f>
        <v/>
      </c>
      <c r="L19" s="40">
        <f>I19-J19</f>
        <v/>
      </c>
      <c r="M19" s="163">
        <f>E19*N19</f>
        <v/>
      </c>
      <c r="N19" s="40" t="n">
        <v>0.01</v>
      </c>
      <c r="O19" s="164">
        <f>I42</f>
        <v/>
      </c>
      <c r="P19" s="42">
        <f>O19/E19</f>
        <v/>
      </c>
      <c r="Q19" s="162">
        <f>K19+O19</f>
        <v/>
      </c>
      <c r="R19" s="42">
        <f>L19+P19</f>
        <v/>
      </c>
    </row>
    <row r="20" ht="15" customHeight="1">
      <c r="A20" s="13" t="inlineStr">
        <is>
          <t>Poultry</t>
        </is>
      </c>
      <c r="B20" s="171" t="n"/>
      <c r="C20" s="172" t="n"/>
      <c r="D20" s="168" t="n"/>
      <c r="E20" s="168" t="n"/>
      <c r="F20" s="169">
        <f>-B35</f>
        <v/>
      </c>
      <c r="G20" s="157">
        <f>B20+C20-D20+F20</f>
        <v/>
      </c>
      <c r="H20" s="161">
        <f>+E20-G20</f>
        <v/>
      </c>
      <c r="I20" s="63">
        <f>+H20/E20</f>
        <v/>
      </c>
      <c r="J20" s="39" t="n"/>
      <c r="K20" s="162">
        <f>E20*L20</f>
        <v/>
      </c>
      <c r="L20" s="40">
        <f>I20-J20</f>
        <v/>
      </c>
      <c r="M20" s="163">
        <f>E20*N20</f>
        <v/>
      </c>
      <c r="N20" s="40" t="n">
        <v>0.03</v>
      </c>
      <c r="O20" s="164">
        <f>I43</f>
        <v/>
      </c>
      <c r="P20" s="42">
        <f>O20/E20</f>
        <v/>
      </c>
      <c r="Q20" s="162">
        <f>K20+O20</f>
        <v/>
      </c>
      <c r="R20" s="42">
        <f>L20+P20</f>
        <v/>
      </c>
    </row>
    <row r="21" ht="15" customHeight="1">
      <c r="A21" s="13" t="inlineStr">
        <is>
          <t>Fish</t>
        </is>
      </c>
      <c r="B21" s="171" t="n"/>
      <c r="C21" s="166" t="n"/>
      <c r="D21" s="167" t="n"/>
      <c r="E21" s="168" t="n"/>
      <c r="F21" s="169">
        <f>-B36</f>
        <v/>
      </c>
      <c r="G21" s="157">
        <f>B21+C21-D21+F21</f>
        <v/>
      </c>
      <c r="H21" s="161">
        <f>+E21-G21</f>
        <v/>
      </c>
      <c r="I21" s="63">
        <f>+H21/E21</f>
        <v/>
      </c>
      <c r="J21" s="39" t="n"/>
      <c r="K21" s="162">
        <f>E21*L21</f>
        <v/>
      </c>
      <c r="L21" s="40">
        <f>I21-J21</f>
        <v/>
      </c>
      <c r="M21" s="163">
        <f>E21*N21</f>
        <v/>
      </c>
      <c r="N21" s="40" t="n">
        <v>0.02</v>
      </c>
      <c r="O21" s="164">
        <f>I44</f>
        <v/>
      </c>
      <c r="P21" s="42">
        <f>O21/E21</f>
        <v/>
      </c>
      <c r="Q21" s="162">
        <f>K21+O21</f>
        <v/>
      </c>
      <c r="R21" s="42">
        <f>L21+P21</f>
        <v/>
      </c>
    </row>
    <row r="22" ht="15" customHeight="1">
      <c r="A22" s="13" t="inlineStr">
        <is>
          <t>Produce</t>
        </is>
      </c>
      <c r="B22" s="171" t="n"/>
      <c r="C22" s="172" t="n"/>
      <c r="D22" s="168" t="n"/>
      <c r="E22" s="168" t="n"/>
      <c r="F22" s="169">
        <f>-B29-B30</f>
        <v/>
      </c>
      <c r="G22" s="157">
        <f>B22+C22-D22+F22</f>
        <v/>
      </c>
      <c r="H22" s="161">
        <f>+E22-G22</f>
        <v/>
      </c>
      <c r="I22" s="63">
        <f>+H22/E22</f>
        <v/>
      </c>
      <c r="J22" s="39" t="n"/>
      <c r="K22" s="162">
        <f>E22*L22</f>
        <v/>
      </c>
      <c r="L22" s="40">
        <f>I22-J22</f>
        <v/>
      </c>
      <c r="M22" s="163">
        <f>E22*N22</f>
        <v/>
      </c>
      <c r="N22" s="40" t="n">
        <v>0.025</v>
      </c>
      <c r="O22" s="164">
        <f>I37</f>
        <v/>
      </c>
      <c r="P22" s="42">
        <f>O22/E22</f>
        <v/>
      </c>
      <c r="Q22" s="162">
        <f>K22+O22</f>
        <v/>
      </c>
      <c r="R22" s="42">
        <f>L22+P22</f>
        <v/>
      </c>
    </row>
    <row r="23" ht="15" customHeight="1">
      <c r="A23" s="13" t="inlineStr">
        <is>
          <t>Deli</t>
        </is>
      </c>
      <c r="B23" s="171" t="n"/>
      <c r="C23" s="172" t="n"/>
      <c r="D23" s="168" t="n"/>
      <c r="E23" s="168" t="n"/>
      <c r="F23" s="169">
        <f>D29+D32+D31+D34+D35+D36+D37</f>
        <v/>
      </c>
      <c r="G23" s="157">
        <f>B23+C23-D23+F23</f>
        <v/>
      </c>
      <c r="H23" s="161">
        <f>+E23-G23</f>
        <v/>
      </c>
      <c r="I23" s="63">
        <f>+H23/E23</f>
        <v/>
      </c>
      <c r="J23" s="39" t="n"/>
      <c r="K23" s="162">
        <f>E23*L23</f>
        <v/>
      </c>
      <c r="L23" s="40">
        <f>I23-J23</f>
        <v/>
      </c>
      <c r="M23" s="163">
        <f>E23*N23</f>
        <v/>
      </c>
      <c r="N23" s="40" t="n">
        <v>0.025</v>
      </c>
      <c r="O23" s="164">
        <f>I47</f>
        <v/>
      </c>
      <c r="P23" s="42">
        <f>O23/E23</f>
        <v/>
      </c>
      <c r="Q23" s="162">
        <f>K23+O23</f>
        <v/>
      </c>
      <c r="R23" s="42">
        <f>L23+P23</f>
        <v/>
      </c>
    </row>
    <row r="24" ht="15.75" customHeight="1" thickBot="1">
      <c r="A24" s="14" t="inlineStr">
        <is>
          <t>Provisions</t>
        </is>
      </c>
      <c r="B24" s="173" t="n"/>
      <c r="C24" s="174" t="n"/>
      <c r="D24" s="175" t="n"/>
      <c r="E24" s="168" t="n"/>
      <c r="F24" s="169">
        <f>-B33-B37</f>
        <v/>
      </c>
      <c r="G24" s="157">
        <f>B24+C24-D24+F24</f>
        <v/>
      </c>
      <c r="H24" s="161">
        <f>+E24-G24</f>
        <v/>
      </c>
      <c r="I24" s="63">
        <f>+H24/E24</f>
        <v/>
      </c>
      <c r="J24" s="39" t="n"/>
      <c r="K24" s="162">
        <f>E24*L24</f>
        <v/>
      </c>
      <c r="L24" s="40">
        <f>I24-J24</f>
        <v/>
      </c>
      <c r="M24" s="163">
        <f>E24*N24</f>
        <v/>
      </c>
      <c r="N24" s="40" t="n">
        <v>0.02</v>
      </c>
      <c r="O24" s="164">
        <f>I48</f>
        <v/>
      </c>
      <c r="P24" s="42">
        <f>O24/E24</f>
        <v/>
      </c>
      <c r="Q24" s="162">
        <f>K24+O24</f>
        <v/>
      </c>
      <c r="R24" s="42">
        <f>L24+P24</f>
        <v/>
      </c>
    </row>
    <row r="25" ht="15.75" customHeight="1" thickBot="1">
      <c r="B25" s="176">
        <f>SUM(B13:B24)-B15</f>
        <v/>
      </c>
      <c r="C25" s="176">
        <f>SUM(C13:C24)-C15</f>
        <v/>
      </c>
      <c r="D25" s="176">
        <f>SUM(D13:D24)-D15</f>
        <v/>
      </c>
      <c r="E25" s="176">
        <f>SUM(E13:E24)-E15</f>
        <v/>
      </c>
      <c r="F25" s="176">
        <f>SUM(F13:F24)-F15</f>
        <v/>
      </c>
      <c r="G25" s="176">
        <f>SUM(G13:G24)-G15</f>
        <v/>
      </c>
      <c r="H25" s="176">
        <f>SUM(H13:H24)-H15</f>
        <v/>
      </c>
      <c r="I25" s="63" t="n"/>
      <c r="J25" s="40" t="n"/>
      <c r="K25" s="177">
        <f>SUM(K13:K24)</f>
        <v/>
      </c>
      <c r="L25" s="40" t="n"/>
      <c r="M25" s="178">
        <f>SUM(M13:M24)</f>
        <v/>
      </c>
      <c r="N25" s="40" t="n"/>
      <c r="O25" s="179">
        <f>SUM(O13:O24)-O15</f>
        <v/>
      </c>
      <c r="P25" s="27" t="n"/>
      <c r="Q25" s="177">
        <f>SUM(Q13:Q24)</f>
        <v/>
      </c>
      <c r="R25" s="42" t="n"/>
    </row>
    <row r="26" ht="15" customHeight="1" thickBot="1">
      <c r="O26" s="29" t="n"/>
    </row>
    <row r="27" ht="15" customHeight="1">
      <c r="A27" s="131" t="inlineStr">
        <is>
          <t>Transfers</t>
        </is>
      </c>
      <c r="B27" s="180" t="n"/>
      <c r="C27" s="180" t="n"/>
      <c r="D27" s="181" t="n"/>
      <c r="E27" s="182" t="n"/>
      <c r="F27" s="182" t="n"/>
      <c r="H27" s="183" t="inlineStr">
        <is>
          <t>Weekly Waste Reports</t>
        </is>
      </c>
      <c r="I27" s="143" t="n"/>
      <c r="J27" s="143" t="n"/>
      <c r="K27" s="143" t="n"/>
      <c r="L27" s="143" t="n"/>
      <c r="M27" s="143" t="n"/>
      <c r="N27" s="143" t="inlineStr">
        <is>
          <t>KNOWN v FCAST WASTE</t>
        </is>
      </c>
      <c r="O27" s="184" t="n"/>
    </row>
    <row r="28" ht="67.5" customHeight="1">
      <c r="A28" s="109" t="inlineStr">
        <is>
          <t>From</t>
        </is>
      </c>
      <c r="B28" s="9" t="inlineStr">
        <is>
          <t>Amount</t>
        </is>
      </c>
      <c r="C28" s="9" t="inlineStr">
        <is>
          <t>To</t>
        </is>
      </c>
      <c r="D28" s="9" t="inlineStr">
        <is>
          <t>To</t>
        </is>
      </c>
      <c r="E28" s="182" t="n"/>
      <c r="F28" s="182" t="n"/>
      <c r="H28" s="31" t="inlineStr">
        <is>
          <t>Dept</t>
        </is>
      </c>
      <c r="I28" s="31" t="inlineStr">
        <is>
          <t>€ ( CT )</t>
        </is>
      </c>
      <c r="J28" s="31" t="inlineStr">
        <is>
          <t>Explanation for large figure</t>
        </is>
      </c>
      <c r="K28" s="31" t="n"/>
      <c r="L28" s="31" t="n"/>
      <c r="M28" s="31" t="n"/>
      <c r="N28" s="185">
        <f>O25-M25</f>
        <v/>
      </c>
      <c r="O28" s="72">
        <f>N28/M25</f>
        <v/>
      </c>
    </row>
    <row r="29" ht="23.25" customHeight="1">
      <c r="A29" s="109" t="inlineStr">
        <is>
          <t>Produce</t>
        </is>
      </c>
      <c r="B29" s="186" t="n"/>
      <c r="C29" s="187" t="inlineStr">
        <is>
          <t>Deli</t>
        </is>
      </c>
      <c r="D29" s="188">
        <f>B29</f>
        <v/>
      </c>
      <c r="E29" s="182" t="n"/>
      <c r="F29" s="182" t="n"/>
      <c r="I29" s="31" t="n"/>
      <c r="J29" s="31" t="n"/>
      <c r="K29" s="31" t="n"/>
      <c r="L29" s="31" t="n"/>
      <c r="M29" s="31" t="n"/>
      <c r="N29" s="31" t="n"/>
      <c r="O29" s="32" t="n"/>
      <c r="P29" s="29" t="n"/>
    </row>
    <row r="30" ht="15" customHeight="1">
      <c r="A30" s="109" t="inlineStr">
        <is>
          <t>Produce</t>
        </is>
      </c>
      <c r="B30" s="186" t="n"/>
      <c r="C30" s="187" t="inlineStr">
        <is>
          <t>Meat</t>
        </is>
      </c>
      <c r="D30" s="188">
        <f>B30</f>
        <v/>
      </c>
      <c r="E30" s="182" t="n"/>
      <c r="F30" s="182" t="n"/>
      <c r="H30" s="27" t="inlineStr">
        <is>
          <t>D0024 - Grocery Impulse</t>
        </is>
      </c>
      <c r="I30" s="189" t="n"/>
      <c r="J30" s="27" t="n"/>
    </row>
    <row r="31" ht="15" customHeight="1">
      <c r="A31" s="109" t="inlineStr">
        <is>
          <t>Fresh Bakery</t>
        </is>
      </c>
      <c r="B31" s="186" t="n"/>
      <c r="C31" s="187" t="inlineStr">
        <is>
          <t>Deli</t>
        </is>
      </c>
      <c r="D31" s="188">
        <f>B31</f>
        <v/>
      </c>
      <c r="E31" s="182" t="n"/>
      <c r="F31" s="182" t="n"/>
      <c r="H31" s="27" t="inlineStr">
        <is>
          <t>D0025 - Grocery Edible</t>
        </is>
      </c>
      <c r="I31" s="189" t="n"/>
      <c r="J31" s="27" t="n"/>
    </row>
    <row r="32" ht="15" customHeight="1">
      <c r="A32" s="109" t="inlineStr">
        <is>
          <t>Scratch/Semi Bakery</t>
        </is>
      </c>
      <c r="B32" s="186" t="n"/>
      <c r="C32" s="187" t="inlineStr">
        <is>
          <t>Deli</t>
        </is>
      </c>
      <c r="D32" s="188">
        <f>B32</f>
        <v/>
      </c>
      <c r="E32" s="182" t="n"/>
      <c r="F32" s="182" t="n"/>
      <c r="H32" s="27" t="inlineStr">
        <is>
          <t>D0026 - Grocery Non Food</t>
        </is>
      </c>
      <c r="I32" s="189" t="n"/>
      <c r="J32" s="27" t="n"/>
    </row>
    <row r="33" ht="15" customHeight="1">
      <c r="A33" s="109" t="inlineStr">
        <is>
          <t>Provisions</t>
        </is>
      </c>
      <c r="B33" s="186" t="n"/>
      <c r="C33" s="187" t="inlineStr">
        <is>
          <t>Meat</t>
        </is>
      </c>
      <c r="D33" s="188">
        <f>B33</f>
        <v/>
      </c>
      <c r="E33" s="182" t="n"/>
      <c r="F33" s="182" t="n"/>
      <c r="H33" s="27" t="inlineStr">
        <is>
          <t>D0027 - Baby &amp; Kids</t>
        </is>
      </c>
      <c r="I33" s="189" t="n"/>
      <c r="J33" s="27" t="n"/>
    </row>
    <row r="34" ht="15" customHeight="1">
      <c r="A34" s="109" t="inlineStr">
        <is>
          <t>Meat</t>
        </is>
      </c>
      <c r="B34" s="186" t="n"/>
      <c r="C34" s="187" t="inlineStr">
        <is>
          <t>Deli</t>
        </is>
      </c>
      <c r="D34" s="188">
        <f>B34</f>
        <v/>
      </c>
      <c r="E34" s="182" t="n"/>
      <c r="F34" s="182" t="n"/>
      <c r="H34" s="27" t="inlineStr">
        <is>
          <t>D0028 - Personal Care</t>
        </is>
      </c>
      <c r="I34" s="189" t="n"/>
      <c r="J34" s="27" t="n"/>
    </row>
    <row r="35" ht="15" customHeight="1">
      <c r="A35" s="109" t="inlineStr">
        <is>
          <t>Poultry</t>
        </is>
      </c>
      <c r="B35" s="186" t="n"/>
      <c r="C35" s="187" t="inlineStr">
        <is>
          <t>Deli</t>
        </is>
      </c>
      <c r="D35" s="188">
        <f>B35</f>
        <v/>
      </c>
      <c r="E35" s="182" t="n"/>
      <c r="F35" s="182" t="n"/>
      <c r="H35" s="27" t="inlineStr">
        <is>
          <t>D0029 - Beers / Wines / Spirits</t>
        </is>
      </c>
      <c r="I35" s="189" t="n"/>
      <c r="J35" s="27" t="n"/>
    </row>
    <row r="36" ht="15" customHeight="1">
      <c r="A36" s="85" t="inlineStr">
        <is>
          <t>Fish</t>
        </is>
      </c>
      <c r="B36" s="190" t="n"/>
      <c r="C36" s="191" t="inlineStr">
        <is>
          <t>Deli</t>
        </is>
      </c>
      <c r="D36" s="188">
        <f>B36</f>
        <v/>
      </c>
      <c r="E36" s="182" t="n"/>
      <c r="F36" s="182" t="n"/>
      <c r="H36" s="27" t="inlineStr">
        <is>
          <t>D0031 - Cigs</t>
        </is>
      </c>
      <c r="I36" s="189" t="n"/>
      <c r="J36" s="27" t="n"/>
    </row>
    <row r="37" ht="15.75" customHeight="1" thickBot="1">
      <c r="A37" s="129" t="inlineStr">
        <is>
          <t>Provisions</t>
        </is>
      </c>
      <c r="B37" s="192" t="n"/>
      <c r="C37" s="193" t="inlineStr">
        <is>
          <t>Deli</t>
        </is>
      </c>
      <c r="D37" s="188">
        <f>B37</f>
        <v/>
      </c>
      <c r="E37" s="182" t="n"/>
      <c r="F37" s="182" t="n"/>
      <c r="H37" s="27" t="inlineStr">
        <is>
          <t>D0032 - Produce</t>
        </is>
      </c>
      <c r="I37" s="189" t="n"/>
      <c r="J37" s="27" t="n"/>
    </row>
    <row r="38">
      <c r="E38" s="182" t="n"/>
      <c r="F38" s="182" t="n"/>
      <c r="H38" s="27" t="inlineStr">
        <is>
          <t>D0033 - Meat , Poultry , Fish</t>
        </is>
      </c>
      <c r="I38" s="162">
        <f>SUM(I39:I44)</f>
        <v/>
      </c>
      <c r="J38" s="27" t="n"/>
    </row>
    <row r="39" ht="15" customHeight="1" thickBot="1">
      <c r="E39" s="182" t="n"/>
      <c r="F39" s="182" t="n"/>
      <c r="H39" s="68" t="inlineStr">
        <is>
          <t>- Beef</t>
        </is>
      </c>
      <c r="I39" s="189" t="n"/>
      <c r="J39" s="27" t="n"/>
    </row>
    <row r="40" ht="15.75" customHeight="1" thickBot="1">
      <c r="A40" s="78" t="n"/>
      <c r="B40" s="79" t="inlineStr">
        <is>
          <t>Out of Stock</t>
        </is>
      </c>
      <c r="C40" s="79" t="n"/>
      <c r="D40" s="115" t="inlineStr">
        <is>
          <t>No - Home Del's</t>
        </is>
      </c>
      <c r="E40" s="194" t="inlineStr">
        <is>
          <t>Shorts/Overs</t>
        </is>
      </c>
      <c r="F40" s="195" t="inlineStr">
        <is>
          <t>Comments</t>
        </is>
      </c>
      <c r="H40" s="68" t="inlineStr">
        <is>
          <t>- Lamb</t>
        </is>
      </c>
      <c r="I40" s="189" t="n"/>
      <c r="J40" s="27" t="n"/>
    </row>
    <row r="41" ht="15" customHeight="1">
      <c r="A41" s="18" t="n"/>
      <c r="B41" s="99" t="n"/>
      <c r="C41" s="15" t="inlineStr">
        <is>
          <t>Sunday</t>
        </is>
      </c>
      <c r="D41" s="46" t="n"/>
      <c r="E41" s="158" t="n"/>
      <c r="F41" s="196" t="n"/>
      <c r="H41" s="68" t="inlineStr">
        <is>
          <t>- Pork</t>
        </is>
      </c>
      <c r="I41" s="189" t="n"/>
      <c r="J41" s="27" t="n"/>
    </row>
    <row r="42" ht="15" customHeight="1">
      <c r="A42" s="13" t="inlineStr">
        <is>
          <t>Monday</t>
        </is>
      </c>
      <c r="B42" s="51" t="n"/>
      <c r="C42" s="15" t="inlineStr">
        <is>
          <t>Monday</t>
        </is>
      </c>
      <c r="D42" s="47" t="n"/>
      <c r="E42" s="167" t="n"/>
      <c r="F42" s="197" t="n"/>
      <c r="H42" s="68" t="inlineStr">
        <is>
          <t>- Bacon</t>
        </is>
      </c>
      <c r="I42" s="189" t="n"/>
      <c r="J42" s="27" t="n"/>
    </row>
    <row r="43" ht="15" customHeight="1">
      <c r="A43" s="13" t="n"/>
      <c r="B43" s="27" t="n"/>
      <c r="C43" s="15" t="inlineStr">
        <is>
          <t>Tuesday</t>
        </is>
      </c>
      <c r="D43" s="47" t="n"/>
      <c r="E43" s="167" t="n"/>
      <c r="F43" s="197" t="n"/>
      <c r="H43" s="68" t="inlineStr">
        <is>
          <t>- Poultry</t>
        </is>
      </c>
      <c r="I43" s="189" t="n"/>
      <c r="J43" s="27" t="n"/>
    </row>
    <row r="44" ht="15" customHeight="1">
      <c r="A44" s="13" t="inlineStr">
        <is>
          <t>Wednesday</t>
        </is>
      </c>
      <c r="B44" s="51" t="n"/>
      <c r="C44" s="15" t="inlineStr">
        <is>
          <t>Wednesday</t>
        </is>
      </c>
      <c r="D44" s="47" t="n"/>
      <c r="E44" s="167" t="n"/>
      <c r="F44" s="197" t="n"/>
      <c r="H44" s="68" t="inlineStr">
        <is>
          <t>- Fish</t>
        </is>
      </c>
      <c r="I44" s="189" t="n"/>
      <c r="J44" s="27" t="n"/>
    </row>
    <row r="45" ht="15" customHeight="1">
      <c r="A45" s="13" t="n"/>
      <c r="B45" s="27" t="n"/>
      <c r="C45" s="15" t="inlineStr">
        <is>
          <t>Thursday</t>
        </is>
      </c>
      <c r="D45" s="47" t="n"/>
      <c r="E45" s="167" t="n"/>
      <c r="F45" s="197" t="n"/>
      <c r="H45" s="27" t="inlineStr">
        <is>
          <t>D0034 - Dairy</t>
        </is>
      </c>
      <c r="I45" s="189" t="n"/>
      <c r="J45" s="27" t="n"/>
    </row>
    <row r="46" ht="15" customHeight="1">
      <c r="A46" s="13" t="inlineStr">
        <is>
          <t>Friday</t>
        </is>
      </c>
      <c r="B46" s="51" t="n"/>
      <c r="C46" s="15" t="inlineStr">
        <is>
          <t>Friday</t>
        </is>
      </c>
      <c r="D46" s="47" t="n"/>
      <c r="E46" s="167" t="n"/>
      <c r="F46" s="197" t="n"/>
      <c r="H46" s="27" t="inlineStr">
        <is>
          <t>D0035 - Bread &amp; Cakes</t>
        </is>
      </c>
      <c r="I46" s="189" t="n"/>
      <c r="J46" s="27" t="n"/>
    </row>
    <row r="47" ht="15.75" customHeight="1" thickBot="1">
      <c r="A47" s="16" t="n"/>
      <c r="B47" s="97" t="n"/>
      <c r="C47" s="17" t="inlineStr">
        <is>
          <t>Saturday</t>
        </is>
      </c>
      <c r="D47" s="48" t="n"/>
      <c r="E47" s="198" t="n"/>
      <c r="F47" s="199" t="n"/>
      <c r="H47" s="27" t="inlineStr">
        <is>
          <t>D0036 - Deli</t>
        </is>
      </c>
      <c r="I47" s="189" t="n"/>
      <c r="J47" s="27" t="n"/>
    </row>
    <row r="48" ht="15.75" customHeight="1" thickBot="1">
      <c r="A48" s="22" t="inlineStr">
        <is>
          <t>Average</t>
        </is>
      </c>
      <c r="B48" s="200">
        <f>(B42+B44+B46)/3</f>
        <v/>
      </c>
      <c r="C48" s="23" t="inlineStr">
        <is>
          <t>Total</t>
        </is>
      </c>
      <c r="D48" s="21">
        <f>SUM(D41:D47)</f>
        <v/>
      </c>
      <c r="E48" s="201">
        <f>SUM(E41:E47)</f>
        <v/>
      </c>
      <c r="F48" s="202" t="n"/>
      <c r="H48" s="27" t="inlineStr">
        <is>
          <t>D0037 - Provisions</t>
        </is>
      </c>
      <c r="I48" s="189" t="n"/>
      <c r="J48" s="27" t="n"/>
    </row>
    <row r="49">
      <c r="E49" s="203" t="n"/>
      <c r="F49" s="203" t="n"/>
      <c r="H49" s="27" t="inlineStr">
        <is>
          <t>D0038 - Frozen Foods</t>
        </is>
      </c>
      <c r="I49" s="189" t="n"/>
      <c r="J49" s="27" t="n"/>
    </row>
    <row r="50" ht="15" customHeight="1" thickBot="1">
      <c r="E50" s="69" t="n"/>
      <c r="F50" s="69" t="n"/>
      <c r="H50" s="27" t="inlineStr">
        <is>
          <t>D0039 - Non Food Retail</t>
        </is>
      </c>
      <c r="I50" s="189" t="n"/>
      <c r="J50" s="27" t="n"/>
    </row>
    <row r="51" ht="15.75" customHeight="1" thickBot="1">
      <c r="A51" s="114" t="inlineStr">
        <is>
          <t>Customer Information</t>
        </is>
      </c>
      <c r="B51" s="147" t="n"/>
      <c r="C51" s="56" t="inlineStr">
        <is>
          <t>Comments</t>
        </is>
      </c>
      <c r="D51" s="145" t="n"/>
      <c r="E51" s="146" t="n"/>
      <c r="F51" s="143" t="n"/>
      <c r="H51" s="27" t="inlineStr">
        <is>
          <t>D0047 - InStore Services</t>
        </is>
      </c>
      <c r="I51" s="189" t="n"/>
      <c r="J51" s="27" t="n"/>
    </row>
    <row r="52" ht="15" customHeight="1">
      <c r="A52" s="25" t="inlineStr">
        <is>
          <t>No of Customers</t>
        </is>
      </c>
      <c r="B52" s="204" t="n"/>
      <c r="C52" s="205" t="n"/>
      <c r="D52" s="206" t="n"/>
      <c r="E52" s="148" t="n"/>
      <c r="I52" s="207" t="n"/>
    </row>
    <row r="53" ht="15.75" customHeight="1" thickBot="1">
      <c r="A53" s="13" t="inlineStr">
        <is>
          <t>Average Spend</t>
        </is>
      </c>
      <c r="B53" s="208" t="n"/>
      <c r="C53" s="209" t="n"/>
      <c r="D53" s="210" t="n"/>
      <c r="E53" s="211" t="n"/>
      <c r="G53" s="143" t="n"/>
      <c r="H53" s="76" t="inlineStr">
        <is>
          <t>Total Weekly Waste</t>
        </is>
      </c>
      <c r="I53" s="212">
        <f>SUM(I30:I52)-I38</f>
        <v/>
      </c>
      <c r="J53" s="143" t="n"/>
      <c r="K53" s="143" t="n"/>
      <c r="L53" s="143" t="n"/>
      <c r="M53" s="143" t="n"/>
      <c r="N53" s="143" t="n"/>
      <c r="O53" s="143" t="n"/>
    </row>
    <row r="54" ht="15" customHeight="1">
      <c r="A54" s="13" t="inlineStr">
        <is>
          <t>No of Complaints</t>
        </is>
      </c>
      <c r="B54" s="96" t="n"/>
      <c r="C54" s="209" t="n"/>
      <c r="D54" s="210" t="n"/>
      <c r="E54" s="211" t="n"/>
    </row>
    <row r="55" ht="15" customHeight="1">
      <c r="A55" s="13" t="inlineStr">
        <is>
          <t>Accidents Reported</t>
        </is>
      </c>
      <c r="B55" s="11" t="n">
        <v>0</v>
      </c>
      <c r="C55" s="209" t="n"/>
      <c r="D55" s="210" t="n"/>
      <c r="E55" s="211" t="n"/>
    </row>
    <row r="56" ht="15.75" customHeight="1" thickBot="1">
      <c r="A56" s="14" t="inlineStr">
        <is>
          <t>Near Misses</t>
        </is>
      </c>
      <c r="B56" s="12" t="n">
        <v>0</v>
      </c>
      <c r="C56" s="213" t="n"/>
      <c r="D56" s="214" t="n"/>
      <c r="E56" s="215" t="n"/>
      <c r="G56" s="143" t="n"/>
    </row>
    <row r="57">
      <c r="G57" s="138" t="n"/>
    </row>
    <row r="58">
      <c r="G58" s="138" t="n"/>
    </row>
    <row r="59">
      <c r="G59" s="138" t="n"/>
    </row>
    <row r="60">
      <c r="G60" s="138" t="n"/>
    </row>
    <row r="61">
      <c r="G61" s="138" t="n"/>
    </row>
    <row r="62">
      <c r="G62" s="207" t="n"/>
    </row>
    <row r="63">
      <c r="G63" s="138" t="n"/>
    </row>
    <row r="64">
      <c r="G64" s="138" t="n"/>
    </row>
    <row r="66" ht="15" customHeight="1">
      <c r="G66" s="143" t="n"/>
    </row>
    <row r="67" ht="15" customFormat="1" customHeight="1" s="138">
      <c r="A67" s="1" t="n"/>
      <c r="B67" s="1" t="n"/>
      <c r="C67" s="1" t="n"/>
      <c r="G67" s="143" t="n"/>
      <c r="H67" s="143" t="n"/>
      <c r="I67" s="143" t="n"/>
      <c r="J67" s="143" t="n"/>
      <c r="K67" s="143" t="n"/>
      <c r="L67" s="143" t="n"/>
      <c r="M67" s="143" t="n"/>
      <c r="N67" s="143" t="n"/>
    </row>
  </sheetData>
  <mergeCells count="28">
    <mergeCell ref="C54:E54"/>
    <mergeCell ref="D3:G3"/>
    <mergeCell ref="B7:C7"/>
    <mergeCell ref="C55:E55"/>
    <mergeCell ref="G57:O57"/>
    <mergeCell ref="A51:B51"/>
    <mergeCell ref="G62:O62"/>
    <mergeCell ref="C56:E56"/>
    <mergeCell ref="C51:E51"/>
    <mergeCell ref="D6:E6"/>
    <mergeCell ref="C52:E52"/>
    <mergeCell ref="G58:O58"/>
    <mergeCell ref="G64:O64"/>
    <mergeCell ref="D7:E7"/>
    <mergeCell ref="G63:O63"/>
    <mergeCell ref="C53:E53"/>
    <mergeCell ref="G60:O60"/>
    <mergeCell ref="D4:E4"/>
    <mergeCell ref="G56:O56"/>
    <mergeCell ref="B9:C9"/>
    <mergeCell ref="D9:E9"/>
    <mergeCell ref="G59:O59"/>
    <mergeCell ref="D8:E8"/>
    <mergeCell ref="A27:D27"/>
    <mergeCell ref="D5:E5"/>
    <mergeCell ref="G61:O61"/>
    <mergeCell ref="A1:O1"/>
    <mergeCell ref="B4:C4"/>
  </mergeCells>
  <pageMargins left="0.7086614173228347" right="0.7086614173228347" top="0.7480314960629921" bottom="0.7480314960629921" header="0.3149606299212598" footer="0.3149606299212598"/>
  <pageSetup orientation="landscape" scale="3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67"/>
  <sheetViews>
    <sheetView workbookViewId="0">
      <selection activeCell="A1" sqref="A1"/>
    </sheetView>
  </sheetViews>
  <sheetFormatPr baseColWidth="8" defaultRowHeight="14.25"/>
  <cols>
    <col width="26.42578125" customWidth="1" style="1" min="1" max="1"/>
    <col width="15.140625" customWidth="1" style="1" min="2" max="2"/>
    <col width="16.5703125" customWidth="1" style="1" min="3" max="3"/>
    <col width="19.42578125" customWidth="1" style="138" min="4" max="4"/>
    <col width="14.28515625" customWidth="1" style="138" min="5" max="6"/>
    <col width="15.5703125" customWidth="1" style="138" min="7" max="7"/>
    <col width="30.5703125" customWidth="1" style="138" min="8" max="8"/>
    <col width="22.140625" customWidth="1" style="138" min="9" max="14"/>
    <col width="14.85546875" customWidth="1" style="138" min="15" max="15"/>
    <col width="17.42578125" customWidth="1" style="138" min="16" max="16"/>
    <col width="23.7109375" customWidth="1" style="138" min="17" max="17"/>
    <col width="24.42578125" customWidth="1" style="138" min="18" max="18"/>
    <col width="9.140625" customWidth="1" style="1" min="19" max="16384"/>
  </cols>
  <sheetData>
    <row r="1" ht="18.75" customHeight="1" thickBot="1">
      <c r="A1" s="144" t="inlineStr">
        <is>
          <t>PLEASE ONLY FILL IN THE YELLOW BOXES - ALL OTHERS ARE FORMULA DRIVEN !!!</t>
        </is>
      </c>
      <c r="B1" s="145" t="n"/>
      <c r="C1" s="145" t="n"/>
      <c r="D1" s="145" t="n"/>
      <c r="E1" s="145" t="n"/>
      <c r="F1" s="145" t="n"/>
      <c r="G1" s="145" t="n"/>
      <c r="H1" s="145" t="n"/>
      <c r="I1" s="145" t="n"/>
      <c r="J1" s="145" t="n"/>
      <c r="K1" s="145" t="n"/>
      <c r="L1" s="145" t="n"/>
      <c r="M1" s="145" t="n"/>
      <c r="N1" s="145" t="n"/>
      <c r="O1" s="146" t="n"/>
    </row>
    <row r="2" ht="15" customHeight="1" thickBo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5.75" customHeight="1" thickBot="1">
      <c r="A3" s="3" t="n"/>
      <c r="D3" s="114" t="inlineStr">
        <is>
          <t>Week at a Glance</t>
        </is>
      </c>
      <c r="E3" s="145" t="n"/>
      <c r="F3" s="145" t="n"/>
      <c r="G3" s="147" t="n"/>
    </row>
    <row r="4" ht="15" customHeight="1">
      <c r="A4" s="4" t="inlineStr">
        <is>
          <t>Store:</t>
        </is>
      </c>
      <c r="B4" s="119" t="inlineStr">
        <is>
          <t>Skerries</t>
        </is>
      </c>
      <c r="C4" s="148" t="n"/>
      <c r="D4" s="120" t="inlineStr">
        <is>
          <t>Weekly Sales Figure (Inc V.A.T)</t>
        </is>
      </c>
      <c r="E4" s="149" t="n"/>
      <c r="F4" s="81" t="n"/>
      <c r="G4" s="150" t="n">
        <v>394761.22</v>
      </c>
    </row>
    <row r="5" ht="15" customHeight="1">
      <c r="A5" s="5" t="n"/>
      <c r="B5" s="138" t="n"/>
      <c r="C5" s="138" t="n"/>
      <c r="D5" s="120" t="inlineStr">
        <is>
          <t>Weekly Sales Figure (Excl V.A.T)</t>
        </is>
      </c>
      <c r="E5" s="149" t="n"/>
      <c r="F5" s="81" t="n"/>
      <c r="G5" s="150" t="n">
        <v>361766.90862</v>
      </c>
    </row>
    <row r="6" ht="15" customHeight="1">
      <c r="A6" s="5" t="n"/>
      <c r="B6" s="6" t="n"/>
      <c r="D6" s="109" t="inlineStr">
        <is>
          <t xml:space="preserve">Margins </t>
        </is>
      </c>
      <c r="E6" s="151" t="n"/>
      <c r="F6" s="82" t="n"/>
      <c r="G6" s="38" t="n">
        <v>0.175879837165633</v>
      </c>
    </row>
    <row r="7" ht="15" customHeight="1">
      <c r="A7" s="4" t="inlineStr">
        <is>
          <t>Prepared By:</t>
        </is>
      </c>
      <c r="B7" s="126" t="inlineStr">
        <is>
          <t>AD</t>
        </is>
      </c>
      <c r="C7" s="148" t="n"/>
      <c r="D7" s="109" t="inlineStr">
        <is>
          <t>Waste</t>
        </is>
      </c>
      <c r="E7" s="151" t="n"/>
      <c r="F7" s="82" t="n"/>
      <c r="G7" s="152" t="n"/>
    </row>
    <row r="8" ht="15" customHeight="1">
      <c r="B8" s="6" t="n"/>
      <c r="D8" s="109" t="inlineStr">
        <is>
          <t>FCAST Payroll € per Timepoint</t>
        </is>
      </c>
      <c r="E8" s="151" t="n"/>
      <c r="F8" s="82" t="n"/>
      <c r="G8" s="153" t="n"/>
    </row>
    <row r="9" ht="15.75" customHeight="1" thickBot="1">
      <c r="A9" s="4" t="inlineStr">
        <is>
          <t>Week Ending:</t>
        </is>
      </c>
      <c r="B9" s="128" t="inlineStr">
        <is>
          <t>20.10.18</t>
        </is>
      </c>
      <c r="C9" s="148" t="n"/>
      <c r="D9" s="129" t="inlineStr">
        <is>
          <t>ACT Payroll € per Timepoint</t>
        </is>
      </c>
      <c r="E9" s="154" t="n"/>
      <c r="F9" s="83" t="n"/>
      <c r="G9" s="155" t="n"/>
      <c r="H9" s="143" t="n"/>
      <c r="I9" s="143" t="n"/>
      <c r="J9" s="143" t="n"/>
      <c r="K9" s="143" t="n"/>
      <c r="L9" s="143" t="n"/>
      <c r="M9" s="143" t="n"/>
      <c r="N9" s="143" t="n"/>
      <c r="O9" s="143" t="n"/>
    </row>
    <row r="10" ht="11.25" customHeight="1">
      <c r="A10" s="5" t="n"/>
      <c r="B10" s="5" t="n"/>
      <c r="D10" s="143" t="n"/>
      <c r="E10" s="143" t="n"/>
      <c r="F10" s="143" t="n"/>
      <c r="G10" s="143" t="n"/>
      <c r="H10" s="143" t="n"/>
      <c r="I10" s="143" t="n"/>
      <c r="J10" s="143" t="n"/>
      <c r="K10" s="143" t="n"/>
      <c r="L10" s="143" t="n"/>
      <c r="M10" s="143" t="n"/>
      <c r="N10" s="143" t="n"/>
      <c r="O10" s="143" t="n"/>
    </row>
    <row r="11" ht="15" customHeight="1" thickBot="1">
      <c r="O11" s="29" t="n"/>
    </row>
    <row r="12" ht="45.75" customHeight="1" thickBot="1">
      <c r="A12" s="55" t="inlineStr">
        <is>
          <t>Dept</t>
        </is>
      </c>
      <c r="B12" s="56" t="inlineStr">
        <is>
          <t>Purchases</t>
        </is>
      </c>
      <c r="C12" s="56" t="inlineStr">
        <is>
          <t>Opening Stock</t>
        </is>
      </c>
      <c r="D12" s="56" t="inlineStr">
        <is>
          <t>closing stock</t>
        </is>
      </c>
      <c r="E12" s="57" t="inlineStr">
        <is>
          <t>Sales excluding Vat</t>
        </is>
      </c>
      <c r="F12" s="57" t="inlineStr">
        <is>
          <t>Transfers</t>
        </is>
      </c>
      <c r="G12" s="56" t="inlineStr">
        <is>
          <t>Cost of Sales</t>
        </is>
      </c>
      <c r="H12" s="56" t="inlineStr">
        <is>
          <t xml:space="preserve">Profit </t>
        </is>
      </c>
      <c r="I12" s="56" t="inlineStr">
        <is>
          <t>ACT MARGIN</t>
        </is>
      </c>
      <c r="J12" s="58" t="inlineStr">
        <is>
          <t>SCAN MARGIN</t>
        </is>
      </c>
      <c r="K12" s="58" t="inlineStr">
        <is>
          <t xml:space="preserve">Var € + /  - </t>
        </is>
      </c>
      <c r="L12" s="58" t="inlineStr">
        <is>
          <t>Var % + / -</t>
        </is>
      </c>
      <c r="M12" s="58" t="inlineStr">
        <is>
          <t>FCAST Waste €</t>
        </is>
      </c>
      <c r="N12" s="58" t="inlineStr">
        <is>
          <t>FCAST Waste %</t>
        </is>
      </c>
      <c r="O12" s="58" t="inlineStr">
        <is>
          <t>Known Waste</t>
        </is>
      </c>
      <c r="P12" s="58" t="inlineStr">
        <is>
          <t>Known Waste %</t>
        </is>
      </c>
      <c r="Q12" s="58" t="inlineStr">
        <is>
          <t>Waste to investigate €</t>
        </is>
      </c>
      <c r="R12" s="58" t="inlineStr">
        <is>
          <t>Waste to investigate %</t>
        </is>
      </c>
    </row>
    <row r="13" ht="15" customHeight="1">
      <c r="A13" s="25" t="inlineStr">
        <is>
          <t>Cigarettes</t>
        </is>
      </c>
      <c r="B13" s="156" t="n"/>
      <c r="C13" s="157" t="n">
        <v>127896.5799999999</v>
      </c>
      <c r="D13" s="158" t="n">
        <v>131469.13</v>
      </c>
      <c r="E13" s="159" t="n">
        <v>7652.95136</v>
      </c>
      <c r="F13" s="160" t="n"/>
      <c r="G13" s="157">
        <f>B13+C13-D13+F13</f>
        <v/>
      </c>
      <c r="H13" s="161">
        <f>+E13-G13</f>
        <v/>
      </c>
      <c r="I13" s="63">
        <f>+H13/E13</f>
        <v/>
      </c>
      <c r="J13" s="39" t="n">
        <v>0.129586996355874</v>
      </c>
      <c r="K13" s="162">
        <f>E13*L13</f>
        <v/>
      </c>
      <c r="L13" s="40">
        <f>I13-J13</f>
        <v/>
      </c>
      <c r="M13" s="163">
        <f>E13*N13</f>
        <v/>
      </c>
      <c r="N13" s="40" t="n">
        <v>0.0005</v>
      </c>
      <c r="O13" s="164">
        <f>I36</f>
        <v/>
      </c>
      <c r="P13" s="42">
        <f>O13/E13</f>
        <v/>
      </c>
      <c r="Q13" s="162">
        <f>K13+O13</f>
        <v/>
      </c>
      <c r="R13" s="42">
        <f>L13+P13</f>
        <v/>
      </c>
    </row>
    <row r="14" ht="15" customHeight="1">
      <c r="A14" s="13" t="inlineStr">
        <is>
          <t>PBOB Produce</t>
        </is>
      </c>
      <c r="B14" s="165" t="n"/>
      <c r="C14" s="166" t="n"/>
      <c r="D14" s="167" t="n"/>
      <c r="E14" s="168" t="n"/>
      <c r="F14" s="169" t="n"/>
      <c r="G14" s="157">
        <f>B14+C14-D14+F14</f>
        <v/>
      </c>
      <c r="H14" s="161">
        <f>+E14-G14</f>
        <v/>
      </c>
      <c r="I14" s="63" t="n">
        <v>0</v>
      </c>
      <c r="J14" s="39" t="n"/>
      <c r="K14" s="162">
        <f>E14*L14</f>
        <v/>
      </c>
      <c r="L14" s="40">
        <f>I14-J14</f>
        <v/>
      </c>
      <c r="M14" s="163">
        <f>E14*N14</f>
        <v/>
      </c>
      <c r="N14" s="40" t="n"/>
      <c r="O14" s="164" t="n"/>
      <c r="P14" s="42">
        <f>O14/E14</f>
        <v/>
      </c>
      <c r="Q14" s="162">
        <f>K14+O14</f>
        <v/>
      </c>
      <c r="R14" s="42">
        <f>L14+P14</f>
        <v/>
      </c>
    </row>
    <row r="15" ht="15" customHeight="1">
      <c r="A15" s="13" t="inlineStr">
        <is>
          <t>Meat Poultry Fish</t>
        </is>
      </c>
      <c r="B15" s="170">
        <f>SUM(B16:B21)</f>
        <v/>
      </c>
      <c r="C15" s="170">
        <f>SUM(C16:C21)</f>
        <v/>
      </c>
      <c r="D15" s="170">
        <f>SUM(D16:D21)</f>
        <v/>
      </c>
      <c r="E15" s="170">
        <f>SUM(E16:E21)</f>
        <v/>
      </c>
      <c r="F15" s="170">
        <f>SUM(F16:F21)</f>
        <v/>
      </c>
      <c r="G15" s="170">
        <f>SUM(G16:G21)</f>
        <v/>
      </c>
      <c r="H15" s="170">
        <f>SUM(H16:H21)</f>
        <v/>
      </c>
      <c r="I15" s="63">
        <f>+H15/E15</f>
        <v/>
      </c>
      <c r="J15" s="39" t="n"/>
      <c r="K15" s="162">
        <f>E15*L15</f>
        <v/>
      </c>
      <c r="L15" s="40">
        <f>I15-J15</f>
        <v/>
      </c>
      <c r="M15" s="163">
        <f>E15*N15</f>
        <v/>
      </c>
      <c r="N15" s="40" t="n"/>
      <c r="O15" s="164">
        <f>SUM(O16:O21)</f>
        <v/>
      </c>
      <c r="P15" s="42">
        <f>O15/E15</f>
        <v/>
      </c>
      <c r="Q15" s="162">
        <f>K15+O15</f>
        <v/>
      </c>
      <c r="R15" s="42">
        <f>L15+P15</f>
        <v/>
      </c>
    </row>
    <row r="16" ht="15" customHeight="1">
      <c r="A16" s="13" t="inlineStr">
        <is>
          <t>Beef</t>
        </is>
      </c>
      <c r="B16" s="165" t="n"/>
      <c r="C16" s="166" t="n">
        <v>9554.630000000001</v>
      </c>
      <c r="D16" s="167" t="n">
        <v>11161.92</v>
      </c>
      <c r="E16" s="168" t="n">
        <v>13832.32</v>
      </c>
      <c r="F16" s="169">
        <f>-B34+D30+D33</f>
        <v/>
      </c>
      <c r="G16" s="157">
        <f>B16+C16-D16+F16</f>
        <v/>
      </c>
      <c r="H16" s="161">
        <f>+E16-G16</f>
        <v/>
      </c>
      <c r="I16" s="63">
        <f>+H16/E16</f>
        <v/>
      </c>
      <c r="J16" s="39" t="n">
        <v>0.194777774082728</v>
      </c>
      <c r="K16" s="162">
        <f>E16*L16</f>
        <v/>
      </c>
      <c r="L16" s="40">
        <f>I16-J16</f>
        <v/>
      </c>
      <c r="M16" s="163">
        <f>E16*N16</f>
        <v/>
      </c>
      <c r="N16" s="40" t="n">
        <v>0.03</v>
      </c>
      <c r="O16" s="164">
        <f>I39</f>
        <v/>
      </c>
      <c r="P16" s="42">
        <f>O16/E16</f>
        <v/>
      </c>
      <c r="Q16" s="162">
        <f>K16+O16</f>
        <v/>
      </c>
      <c r="R16" s="42">
        <f>L16+P16</f>
        <v/>
      </c>
    </row>
    <row r="17" ht="15" customHeight="1">
      <c r="A17" s="13" t="inlineStr">
        <is>
          <t>Lamb</t>
        </is>
      </c>
      <c r="B17" s="171" t="n"/>
      <c r="C17" s="172" t="n">
        <v>1507.63</v>
      </c>
      <c r="D17" s="168" t="n">
        <v>1182.86</v>
      </c>
      <c r="E17" s="168" t="n">
        <v>1490.55</v>
      </c>
      <c r="F17" s="169" t="n"/>
      <c r="G17" s="157">
        <f>B17+C17-D17+F17</f>
        <v/>
      </c>
      <c r="H17" s="161">
        <f>+E17-G17</f>
        <v/>
      </c>
      <c r="I17" s="63">
        <f>+H17/E17</f>
        <v/>
      </c>
      <c r="J17" s="39" t="n">
        <v>0.241053872731542</v>
      </c>
      <c r="K17" s="162">
        <f>E17*L17</f>
        <v/>
      </c>
      <c r="L17" s="40">
        <f>I17-J17</f>
        <v/>
      </c>
      <c r="M17" s="163">
        <f>E17*N17</f>
        <v/>
      </c>
      <c r="N17" s="40" t="n">
        <v>0.02</v>
      </c>
      <c r="O17" s="164">
        <f>I40</f>
        <v/>
      </c>
      <c r="P17" s="42">
        <f>O17/E17</f>
        <v/>
      </c>
      <c r="Q17" s="162">
        <f>K17+O17</f>
        <v/>
      </c>
      <c r="R17" s="42">
        <f>L17+P17</f>
        <v/>
      </c>
    </row>
    <row r="18" ht="15" customHeight="1">
      <c r="A18" s="13" t="inlineStr">
        <is>
          <t>Pork</t>
        </is>
      </c>
      <c r="B18" s="171" t="n"/>
      <c r="C18" s="166" t="n">
        <v>1148.07</v>
      </c>
      <c r="D18" s="167" t="n">
        <v>1209.33</v>
      </c>
      <c r="E18" s="168" t="n">
        <v>1619.89</v>
      </c>
      <c r="F18" s="169" t="n"/>
      <c r="G18" s="157">
        <f>B18+C18-D18+F18</f>
        <v/>
      </c>
      <c r="H18" s="161">
        <f>+E18-G18</f>
        <v/>
      </c>
      <c r="I18" s="63">
        <f>+H18/E18</f>
        <v/>
      </c>
      <c r="J18" s="39" t="n">
        <v>0.207649920673626</v>
      </c>
      <c r="K18" s="162">
        <f>E18*L18</f>
        <v/>
      </c>
      <c r="L18" s="40">
        <f>I18-J18</f>
        <v/>
      </c>
      <c r="M18" s="163">
        <f>E18*N18</f>
        <v/>
      </c>
      <c r="N18" s="40" t="n">
        <v>0.015</v>
      </c>
      <c r="O18" s="164">
        <f>I41</f>
        <v/>
      </c>
      <c r="P18" s="42">
        <f>O18/E18</f>
        <v/>
      </c>
      <c r="Q18" s="162">
        <f>K18+O18</f>
        <v/>
      </c>
      <c r="R18" s="42">
        <f>L18+P18</f>
        <v/>
      </c>
    </row>
    <row r="19" ht="15" customHeight="1">
      <c r="A19" s="13" t="inlineStr">
        <is>
          <t>Bacon &amp; Loose S.R.P</t>
        </is>
      </c>
      <c r="B19" s="171" t="n"/>
      <c r="C19" s="166" t="n">
        <v>802.55</v>
      </c>
      <c r="D19" s="167" t="n">
        <v>512.42</v>
      </c>
      <c r="E19" s="168" t="n">
        <v>876.64</v>
      </c>
      <c r="F19" s="169" t="n"/>
      <c r="G19" s="157">
        <f>B19+C19-D19+F19</f>
        <v/>
      </c>
      <c r="H19" s="161">
        <f>+E19-G19</f>
        <v/>
      </c>
      <c r="I19" s="63">
        <f>+H19/E19</f>
        <v/>
      </c>
      <c r="J19" s="39" t="n">
        <v>0.112630328255635</v>
      </c>
      <c r="K19" s="162">
        <f>E19*L19</f>
        <v/>
      </c>
      <c r="L19" s="40">
        <f>I19-J19</f>
        <v/>
      </c>
      <c r="M19" s="163">
        <f>E19*N19</f>
        <v/>
      </c>
      <c r="N19" s="40" t="n">
        <v>0.01</v>
      </c>
      <c r="O19" s="164">
        <f>I42</f>
        <v/>
      </c>
      <c r="P19" s="42">
        <f>O19/E19</f>
        <v/>
      </c>
      <c r="Q19" s="162">
        <f>K19+O19</f>
        <v/>
      </c>
      <c r="R19" s="42">
        <f>L19+P19</f>
        <v/>
      </c>
    </row>
    <row r="20" ht="15" customHeight="1">
      <c r="A20" s="13" t="inlineStr">
        <is>
          <t>Poultry</t>
        </is>
      </c>
      <c r="B20" s="171" t="n"/>
      <c r="C20" s="172" t="n">
        <v>3571.79</v>
      </c>
      <c r="D20" s="168" t="n">
        <v>2228</v>
      </c>
      <c r="E20" s="168" t="n">
        <v>13289.83</v>
      </c>
      <c r="F20" s="169">
        <f>-B35</f>
        <v/>
      </c>
      <c r="G20" s="157">
        <f>B20+C20-D20+F20</f>
        <v/>
      </c>
      <c r="H20" s="161">
        <f>+E20-G20</f>
        <v/>
      </c>
      <c r="I20" s="63">
        <f>+H20/E20</f>
        <v/>
      </c>
      <c r="J20" s="39" t="n">
        <v>0.167672840811357</v>
      </c>
      <c r="K20" s="162">
        <f>E20*L20</f>
        <v/>
      </c>
      <c r="L20" s="40">
        <f>I20-J20</f>
        <v/>
      </c>
      <c r="M20" s="163">
        <f>E20*N20</f>
        <v/>
      </c>
      <c r="N20" s="40" t="n">
        <v>0.03</v>
      </c>
      <c r="O20" s="164">
        <f>I43</f>
        <v/>
      </c>
      <c r="P20" s="42">
        <f>O20/E20</f>
        <v/>
      </c>
      <c r="Q20" s="162">
        <f>K20+O20</f>
        <v/>
      </c>
      <c r="R20" s="42">
        <f>L20+P20</f>
        <v/>
      </c>
    </row>
    <row r="21" ht="15" customHeight="1">
      <c r="A21" s="13" t="inlineStr">
        <is>
          <t>Fish</t>
        </is>
      </c>
      <c r="B21" s="171" t="n"/>
      <c r="C21" s="166" t="n">
        <v>2138.81</v>
      </c>
      <c r="D21" s="167" t="n">
        <v>1990.5</v>
      </c>
      <c r="E21" s="168" t="n">
        <v>5599.62</v>
      </c>
      <c r="F21" s="169">
        <f>-B36</f>
        <v/>
      </c>
      <c r="G21" s="157">
        <f>B21+C21-D21+F21</f>
        <v/>
      </c>
      <c r="H21" s="161">
        <f>+E21-G21</f>
        <v/>
      </c>
      <c r="I21" s="63">
        <f>+H21/E21</f>
        <v/>
      </c>
      <c r="J21" s="39" t="n">
        <v>0.177858572545994</v>
      </c>
      <c r="K21" s="162">
        <f>E21*L21</f>
        <v/>
      </c>
      <c r="L21" s="40">
        <f>I21-J21</f>
        <v/>
      </c>
      <c r="M21" s="163">
        <f>E21*N21</f>
        <v/>
      </c>
      <c r="N21" s="40" t="n">
        <v>0.02</v>
      </c>
      <c r="O21" s="164">
        <f>I44</f>
        <v/>
      </c>
      <c r="P21" s="42">
        <f>O21/E21</f>
        <v/>
      </c>
      <c r="Q21" s="162">
        <f>K21+O21</f>
        <v/>
      </c>
      <c r="R21" s="42">
        <f>L21+P21</f>
        <v/>
      </c>
    </row>
    <row r="22" ht="15" customHeight="1">
      <c r="A22" s="13" t="inlineStr">
        <is>
          <t>Produce</t>
        </is>
      </c>
      <c r="B22" s="171" t="n"/>
      <c r="C22" s="172" t="n"/>
      <c r="D22" s="168" t="n">
        <v>11162.64</v>
      </c>
      <c r="E22" s="168" t="n">
        <v>42313.26172</v>
      </c>
      <c r="F22" s="169">
        <f>-B29-B30</f>
        <v/>
      </c>
      <c r="G22" s="157">
        <f>B22+C22-D22+F22</f>
        <v/>
      </c>
      <c r="H22" s="161">
        <f>+E22-G22</f>
        <v/>
      </c>
      <c r="I22" s="63">
        <f>+H22/E22</f>
        <v/>
      </c>
      <c r="J22" s="39" t="n">
        <v>0.190597038426562</v>
      </c>
      <c r="K22" s="162">
        <f>E22*L22</f>
        <v/>
      </c>
      <c r="L22" s="40">
        <f>I22-J22</f>
        <v/>
      </c>
      <c r="M22" s="163">
        <f>E22*N22</f>
        <v/>
      </c>
      <c r="N22" s="40" t="n">
        <v>0.025</v>
      </c>
      <c r="O22" s="164">
        <f>I37</f>
        <v/>
      </c>
      <c r="P22" s="42">
        <f>O22/E22</f>
        <v/>
      </c>
      <c r="Q22" s="162">
        <f>K22+O22</f>
        <v/>
      </c>
      <c r="R22" s="42">
        <f>L22+P22</f>
        <v/>
      </c>
    </row>
    <row r="23" ht="15" customHeight="1">
      <c r="A23" s="13" t="inlineStr">
        <is>
          <t>Deli</t>
        </is>
      </c>
      <c r="B23" s="171" t="n"/>
      <c r="C23" s="172" t="n">
        <v>3609.59</v>
      </c>
      <c r="D23" s="168" t="n">
        <v>3880.07</v>
      </c>
      <c r="E23" s="168" t="n">
        <v>10663.41415</v>
      </c>
      <c r="F23" s="169">
        <f>D29+D32+D31+D34+D35+D36+D37</f>
        <v/>
      </c>
      <c r="G23" s="157">
        <f>B23+C23-D23+F23</f>
        <v/>
      </c>
      <c r="H23" s="161">
        <f>+E23-G23</f>
        <v/>
      </c>
      <c r="I23" s="63">
        <f>+H23/E23</f>
        <v/>
      </c>
      <c r="J23" s="39" t="n">
        <v>0.393789152417005</v>
      </c>
      <c r="K23" s="162">
        <f>E23*L23</f>
        <v/>
      </c>
      <c r="L23" s="40">
        <f>I23-J23</f>
        <v/>
      </c>
      <c r="M23" s="163">
        <f>E23*N23</f>
        <v/>
      </c>
      <c r="N23" s="40" t="n">
        <v>0.025</v>
      </c>
      <c r="O23" s="164">
        <f>I47</f>
        <v/>
      </c>
      <c r="P23" s="42">
        <f>O23/E23</f>
        <v/>
      </c>
      <c r="Q23" s="162">
        <f>K23+O23</f>
        <v/>
      </c>
      <c r="R23" s="42">
        <f>L23+P23</f>
        <v/>
      </c>
    </row>
    <row r="24" ht="15.75" customHeight="1" thickBot="1">
      <c r="A24" s="14" t="inlineStr">
        <is>
          <t>Provisions</t>
        </is>
      </c>
      <c r="B24" s="173" t="n"/>
      <c r="C24" s="174" t="n">
        <v>210.9</v>
      </c>
      <c r="D24" s="175" t="n">
        <v>25129.61</v>
      </c>
      <c r="E24" s="168" t="n">
        <v>26098.97</v>
      </c>
      <c r="F24" s="169">
        <f>-B33-B37</f>
        <v/>
      </c>
      <c r="G24" s="157">
        <f>B24+C24-D24+F24</f>
        <v/>
      </c>
      <c r="H24" s="161">
        <f>+E24-G24</f>
        <v/>
      </c>
      <c r="I24" s="63">
        <f>+H24/E24</f>
        <v/>
      </c>
      <c r="J24" s="39" t="n">
        <v>0.194783830932792</v>
      </c>
      <c r="K24" s="162">
        <f>E24*L24</f>
        <v/>
      </c>
      <c r="L24" s="40">
        <f>I24-J24</f>
        <v/>
      </c>
      <c r="M24" s="163">
        <f>E24*N24</f>
        <v/>
      </c>
      <c r="N24" s="40" t="n">
        <v>0.02</v>
      </c>
      <c r="O24" s="164">
        <f>I48</f>
        <v/>
      </c>
      <c r="P24" s="42">
        <f>O24/E24</f>
        <v/>
      </c>
      <c r="Q24" s="162">
        <f>K24+O24</f>
        <v/>
      </c>
      <c r="R24" s="42">
        <f>L24+P24</f>
        <v/>
      </c>
    </row>
    <row r="25" ht="15.75" customHeight="1" thickBot="1">
      <c r="B25" s="176">
        <f>SUM(B13:B24)-B15</f>
        <v/>
      </c>
      <c r="C25" s="176">
        <f>SUM(C13:C24)-C15</f>
        <v/>
      </c>
      <c r="D25" s="176">
        <f>SUM(D13:D24)-D15</f>
        <v/>
      </c>
      <c r="E25" s="176">
        <f>SUM(E13:E24)-E15</f>
        <v/>
      </c>
      <c r="F25" s="176">
        <f>SUM(F13:F24)-F15</f>
        <v/>
      </c>
      <c r="G25" s="176">
        <f>SUM(G13:G24)-G15</f>
        <v/>
      </c>
      <c r="H25" s="176">
        <f>SUM(H13:H24)-H15</f>
        <v/>
      </c>
      <c r="I25" s="63" t="n"/>
      <c r="J25" s="40" t="n"/>
      <c r="K25" s="177">
        <f>SUM(K13:K24)</f>
        <v/>
      </c>
      <c r="L25" s="40" t="n"/>
      <c r="M25" s="178">
        <f>SUM(M13:M24)</f>
        <v/>
      </c>
      <c r="N25" s="40" t="n"/>
      <c r="O25" s="179">
        <f>SUM(O13:O24)-O15</f>
        <v/>
      </c>
      <c r="P25" s="27" t="n"/>
      <c r="Q25" s="177">
        <f>SUM(Q13:Q24)</f>
        <v/>
      </c>
      <c r="R25" s="42" t="n"/>
    </row>
    <row r="26" ht="15" customHeight="1" thickBot="1">
      <c r="O26" s="29" t="n"/>
    </row>
    <row r="27" ht="15" customHeight="1">
      <c r="A27" s="131" t="inlineStr">
        <is>
          <t>Transfers</t>
        </is>
      </c>
      <c r="B27" s="180" t="n"/>
      <c r="C27" s="180" t="n"/>
      <c r="D27" s="181" t="n"/>
      <c r="E27" s="182" t="n"/>
      <c r="F27" s="182" t="n"/>
      <c r="H27" s="183" t="inlineStr">
        <is>
          <t>Weekly Waste Reports</t>
        </is>
      </c>
      <c r="I27" s="143" t="n"/>
      <c r="J27" s="143" t="n"/>
      <c r="K27" s="143" t="n"/>
      <c r="L27" s="143" t="n"/>
      <c r="M27" s="143" t="n"/>
      <c r="N27" s="143" t="inlineStr">
        <is>
          <t>KNOWN v FCAST WASTE</t>
        </is>
      </c>
      <c r="O27" s="184" t="n"/>
    </row>
    <row r="28" ht="67.5" customHeight="1">
      <c r="A28" s="109" t="inlineStr">
        <is>
          <t>From</t>
        </is>
      </c>
      <c r="B28" s="9" t="inlineStr">
        <is>
          <t>Amount</t>
        </is>
      </c>
      <c r="C28" s="9" t="inlineStr">
        <is>
          <t>To</t>
        </is>
      </c>
      <c r="D28" s="9" t="inlineStr">
        <is>
          <t>To</t>
        </is>
      </c>
      <c r="E28" s="182" t="n"/>
      <c r="F28" s="182" t="n"/>
      <c r="H28" s="31" t="inlineStr">
        <is>
          <t>Dept</t>
        </is>
      </c>
      <c r="I28" s="31" t="inlineStr">
        <is>
          <t>€ ( CT )</t>
        </is>
      </c>
      <c r="J28" s="31" t="inlineStr">
        <is>
          <t>Explanation for large figure</t>
        </is>
      </c>
      <c r="K28" s="31" t="n"/>
      <c r="L28" s="31" t="n"/>
      <c r="M28" s="31" t="n"/>
      <c r="N28" s="185">
        <f>O25-M25</f>
        <v/>
      </c>
      <c r="O28" s="72">
        <f>N28/M25</f>
        <v/>
      </c>
    </row>
    <row r="29" ht="23.25" customHeight="1">
      <c r="A29" s="109" t="inlineStr">
        <is>
          <t>Produce</t>
        </is>
      </c>
      <c r="B29" s="186" t="n"/>
      <c r="C29" s="187" t="inlineStr">
        <is>
          <t>Deli</t>
        </is>
      </c>
      <c r="D29" s="188">
        <f>B29</f>
        <v/>
      </c>
      <c r="E29" s="182" t="n"/>
      <c r="F29" s="182" t="n"/>
      <c r="I29" s="31" t="n"/>
      <c r="J29" s="31" t="n"/>
      <c r="K29" s="31" t="n"/>
      <c r="L29" s="31" t="n"/>
      <c r="M29" s="31" t="n"/>
      <c r="N29" s="31" t="n"/>
      <c r="O29" s="32" t="n"/>
      <c r="P29" s="29" t="n"/>
    </row>
    <row r="30" ht="15" customHeight="1">
      <c r="A30" s="109" t="inlineStr">
        <is>
          <t>Produce</t>
        </is>
      </c>
      <c r="B30" s="186" t="n"/>
      <c r="C30" s="187" t="inlineStr">
        <is>
          <t>Meat</t>
        </is>
      </c>
      <c r="D30" s="188">
        <f>B30</f>
        <v/>
      </c>
      <c r="E30" s="182" t="n"/>
      <c r="F30" s="182" t="n"/>
      <c r="H30" s="27" t="inlineStr">
        <is>
          <t>D0024 - Grocery Impulse</t>
        </is>
      </c>
      <c r="I30" s="189" t="n"/>
      <c r="J30" s="27" t="n"/>
    </row>
    <row r="31" ht="15" customHeight="1">
      <c r="A31" s="109" t="inlineStr">
        <is>
          <t>Fresh Bakery</t>
        </is>
      </c>
      <c r="B31" s="186" t="n"/>
      <c r="C31" s="187" t="inlineStr">
        <is>
          <t>Deli</t>
        </is>
      </c>
      <c r="D31" s="188">
        <f>B31</f>
        <v/>
      </c>
      <c r="E31" s="182" t="n"/>
      <c r="F31" s="182" t="n"/>
      <c r="H31" s="27" t="inlineStr">
        <is>
          <t>D0025 - Grocery Edible</t>
        </is>
      </c>
      <c r="I31" s="189" t="n"/>
      <c r="J31" s="27" t="n"/>
    </row>
    <row r="32" ht="15" customHeight="1">
      <c r="A32" s="109" t="inlineStr">
        <is>
          <t>Scratch/Semi Bakery</t>
        </is>
      </c>
      <c r="B32" s="186" t="n"/>
      <c r="C32" s="187" t="inlineStr">
        <is>
          <t>Deli</t>
        </is>
      </c>
      <c r="D32" s="188">
        <f>B32</f>
        <v/>
      </c>
      <c r="E32" s="182" t="n"/>
      <c r="F32" s="182" t="n"/>
      <c r="H32" s="27" t="inlineStr">
        <is>
          <t>D0026 - Grocery Non Food</t>
        </is>
      </c>
      <c r="I32" s="189" t="n"/>
      <c r="J32" s="27" t="n"/>
    </row>
    <row r="33" ht="15" customHeight="1">
      <c r="A33" s="109" t="inlineStr">
        <is>
          <t>Provisions</t>
        </is>
      </c>
      <c r="B33" s="186" t="n"/>
      <c r="C33" s="187" t="inlineStr">
        <is>
          <t>Meat</t>
        </is>
      </c>
      <c r="D33" s="188">
        <f>B33</f>
        <v/>
      </c>
      <c r="E33" s="182" t="n"/>
      <c r="F33" s="182" t="n"/>
      <c r="H33" s="27" t="inlineStr">
        <is>
          <t>D0027 - Baby &amp; Kids</t>
        </is>
      </c>
      <c r="I33" s="189" t="n"/>
      <c r="J33" s="27" t="n"/>
    </row>
    <row r="34" ht="15" customHeight="1">
      <c r="A34" s="109" t="inlineStr">
        <is>
          <t>Meat</t>
        </is>
      </c>
      <c r="B34" s="186" t="n"/>
      <c r="C34" s="187" t="inlineStr">
        <is>
          <t>Deli</t>
        </is>
      </c>
      <c r="D34" s="188">
        <f>B34</f>
        <v/>
      </c>
      <c r="E34" s="182" t="n"/>
      <c r="F34" s="182" t="n"/>
      <c r="H34" s="27" t="inlineStr">
        <is>
          <t>D0028 - Personal Care</t>
        </is>
      </c>
      <c r="I34" s="189" t="n"/>
      <c r="J34" s="27" t="n"/>
    </row>
    <row r="35" ht="15" customHeight="1">
      <c r="A35" s="109" t="inlineStr">
        <is>
          <t>Poultry</t>
        </is>
      </c>
      <c r="B35" s="186" t="n"/>
      <c r="C35" s="187" t="inlineStr">
        <is>
          <t>Deli</t>
        </is>
      </c>
      <c r="D35" s="188">
        <f>B35</f>
        <v/>
      </c>
      <c r="E35" s="182" t="n"/>
      <c r="F35" s="182" t="n"/>
      <c r="H35" s="27" t="inlineStr">
        <is>
          <t>D0029 - Beers / Wines / Spirits</t>
        </is>
      </c>
      <c r="I35" s="189" t="n"/>
      <c r="J35" s="27" t="n"/>
    </row>
    <row r="36" ht="15" customHeight="1">
      <c r="A36" s="85" t="inlineStr">
        <is>
          <t>Fish</t>
        </is>
      </c>
      <c r="B36" s="190" t="n"/>
      <c r="C36" s="191" t="inlineStr">
        <is>
          <t>Deli</t>
        </is>
      </c>
      <c r="D36" s="188">
        <f>B36</f>
        <v/>
      </c>
      <c r="E36" s="182" t="n"/>
      <c r="F36" s="182" t="n"/>
      <c r="H36" s="27" t="inlineStr">
        <is>
          <t>D0031 - Cigs</t>
        </is>
      </c>
      <c r="I36" s="189" t="n"/>
      <c r="J36" s="27" t="n"/>
    </row>
    <row r="37" ht="15.75" customHeight="1" thickBot="1">
      <c r="A37" s="129" t="inlineStr">
        <is>
          <t>Provisions</t>
        </is>
      </c>
      <c r="B37" s="192" t="n"/>
      <c r="C37" s="193" t="inlineStr">
        <is>
          <t>Deli</t>
        </is>
      </c>
      <c r="D37" s="188">
        <f>B37</f>
        <v/>
      </c>
      <c r="E37" s="182" t="n"/>
      <c r="F37" s="182" t="n"/>
      <c r="H37" s="27" t="inlineStr">
        <is>
          <t>D0032 - Produce</t>
        </is>
      </c>
      <c r="I37" s="189" t="n">
        <v>888.48</v>
      </c>
      <c r="J37" s="27" t="n"/>
    </row>
    <row r="38">
      <c r="E38" s="182" t="n"/>
      <c r="F38" s="182" t="n"/>
      <c r="H38" s="27" t="inlineStr">
        <is>
          <t>D0033 - Meat , Poultry , Fish</t>
        </is>
      </c>
      <c r="I38" s="162">
        <f>SUM(I39:I44)</f>
        <v/>
      </c>
      <c r="J38" s="27" t="n"/>
    </row>
    <row r="39" ht="15" customHeight="1" thickBot="1">
      <c r="E39" s="182" t="n"/>
      <c r="F39" s="182" t="n"/>
      <c r="H39" s="68" t="inlineStr">
        <is>
          <t>- Beef</t>
        </is>
      </c>
      <c r="I39" s="189" t="n">
        <v>64.48999999999999</v>
      </c>
      <c r="J39" s="27" t="n"/>
    </row>
    <row r="40" ht="15.75" customHeight="1" thickBot="1">
      <c r="A40" s="78" t="n"/>
      <c r="B40" s="79" t="inlineStr">
        <is>
          <t>Out of Stock</t>
        </is>
      </c>
      <c r="C40" s="79" t="n"/>
      <c r="D40" s="115" t="inlineStr">
        <is>
          <t>No - Home Del's</t>
        </is>
      </c>
      <c r="E40" s="194" t="inlineStr">
        <is>
          <t>Shorts/Overs</t>
        </is>
      </c>
      <c r="F40" s="195" t="inlineStr">
        <is>
          <t>Comments</t>
        </is>
      </c>
      <c r="H40" s="68" t="inlineStr">
        <is>
          <t>- Lamb</t>
        </is>
      </c>
      <c r="I40" s="189" t="n">
        <v>38.36</v>
      </c>
      <c r="J40" s="27" t="n"/>
    </row>
    <row r="41" ht="15" customHeight="1">
      <c r="A41" s="18" t="n"/>
      <c r="B41" s="99" t="n"/>
      <c r="C41" s="15" t="inlineStr">
        <is>
          <t>Sunday</t>
        </is>
      </c>
      <c r="D41" s="46" t="n"/>
      <c r="E41" s="158" t="n"/>
      <c r="F41" s="196" t="n"/>
      <c r="H41" s="68" t="inlineStr">
        <is>
          <t>- Pork</t>
        </is>
      </c>
      <c r="I41" s="189" t="n">
        <v>6.96</v>
      </c>
      <c r="J41" s="27" t="n"/>
    </row>
    <row r="42" ht="15" customHeight="1">
      <c r="A42" s="13" t="inlineStr">
        <is>
          <t>Monday</t>
        </is>
      </c>
      <c r="B42" s="51" t="n"/>
      <c r="C42" s="15" t="inlineStr">
        <is>
          <t>Monday</t>
        </is>
      </c>
      <c r="D42" s="47" t="n"/>
      <c r="E42" s="167" t="n"/>
      <c r="F42" s="197" t="n"/>
      <c r="H42" s="68" t="inlineStr">
        <is>
          <t>- Bacon</t>
        </is>
      </c>
      <c r="I42" s="189" t="n">
        <v>5.4</v>
      </c>
      <c r="J42" s="27" t="n"/>
    </row>
    <row r="43" ht="15" customHeight="1">
      <c r="A43" s="13" t="n"/>
      <c r="B43" s="27" t="n"/>
      <c r="C43" s="15" t="inlineStr">
        <is>
          <t>Tuesday</t>
        </is>
      </c>
      <c r="D43" s="47" t="n"/>
      <c r="E43" s="167" t="n"/>
      <c r="F43" s="197" t="n"/>
      <c r="H43" s="68" t="inlineStr">
        <is>
          <t>- Poultry</t>
        </is>
      </c>
      <c r="I43" s="189" t="n">
        <v>30.29</v>
      </c>
      <c r="J43" s="27" t="n"/>
    </row>
    <row r="44" ht="15" customHeight="1">
      <c r="A44" s="13" t="inlineStr">
        <is>
          <t>Wednesday</t>
        </is>
      </c>
      <c r="B44" s="51" t="n"/>
      <c r="C44" s="15" t="inlineStr">
        <is>
          <t>Wednesday</t>
        </is>
      </c>
      <c r="D44" s="47" t="n"/>
      <c r="E44" s="167" t="n"/>
      <c r="F44" s="197" t="n"/>
      <c r="H44" s="68" t="inlineStr">
        <is>
          <t>- Fish</t>
        </is>
      </c>
      <c r="I44" s="189" t="n">
        <v>522.7</v>
      </c>
      <c r="J44" s="27" t="n"/>
    </row>
    <row r="45" ht="15" customHeight="1">
      <c r="A45" s="13" t="n"/>
      <c r="B45" s="27" t="n"/>
      <c r="C45" s="15" t="inlineStr">
        <is>
          <t>Thursday</t>
        </is>
      </c>
      <c r="D45" s="47" t="n"/>
      <c r="E45" s="167" t="n"/>
      <c r="F45" s="197" t="n"/>
      <c r="H45" s="27" t="inlineStr">
        <is>
          <t>D0034 - Dairy</t>
        </is>
      </c>
      <c r="I45" s="189" t="n">
        <v>403.77</v>
      </c>
      <c r="J45" s="27" t="n"/>
    </row>
    <row r="46" ht="15" customHeight="1">
      <c r="A46" s="13" t="inlineStr">
        <is>
          <t>Friday</t>
        </is>
      </c>
      <c r="B46" s="51" t="n"/>
      <c r="C46" s="15" t="inlineStr">
        <is>
          <t>Friday</t>
        </is>
      </c>
      <c r="D46" s="47" t="n"/>
      <c r="E46" s="167" t="n"/>
      <c r="F46" s="197" t="n"/>
      <c r="H46" s="27" t="inlineStr">
        <is>
          <t>D0035 - Bread &amp; Cakes</t>
        </is>
      </c>
      <c r="I46" s="189" t="n">
        <v>390.75</v>
      </c>
      <c r="J46" s="27" t="n"/>
    </row>
    <row r="47" ht="15.75" customHeight="1" thickBot="1">
      <c r="A47" s="16" t="n"/>
      <c r="B47" s="97" t="n"/>
      <c r="C47" s="17" t="inlineStr">
        <is>
          <t>Saturday</t>
        </is>
      </c>
      <c r="D47" s="48" t="n"/>
      <c r="E47" s="198" t="n"/>
      <c r="F47" s="199" t="n"/>
      <c r="H47" s="27" t="inlineStr">
        <is>
          <t>D0036 - Deli</t>
        </is>
      </c>
      <c r="I47" s="189" t="n">
        <v>255.83</v>
      </c>
      <c r="J47" s="27" t="n"/>
    </row>
    <row r="48" ht="15.75" customHeight="1" thickBot="1">
      <c r="A48" s="22" t="inlineStr">
        <is>
          <t>Average</t>
        </is>
      </c>
      <c r="B48" s="200">
        <f>(B42+B44+B46)/3</f>
        <v/>
      </c>
      <c r="C48" s="23" t="inlineStr">
        <is>
          <t>Total</t>
        </is>
      </c>
      <c r="D48" s="21">
        <f>SUM(D41:D47)</f>
        <v/>
      </c>
      <c r="E48" s="201">
        <f>SUM(E41:E47)</f>
        <v/>
      </c>
      <c r="F48" s="202" t="n"/>
      <c r="H48" s="27" t="inlineStr">
        <is>
          <t>D0037 - Provisions</t>
        </is>
      </c>
      <c r="I48" s="189" t="n">
        <v>1000.74</v>
      </c>
      <c r="J48" s="27" t="n"/>
    </row>
    <row r="49">
      <c r="E49" s="203" t="n"/>
      <c r="F49" s="203" t="n"/>
      <c r="H49" s="27" t="inlineStr">
        <is>
          <t>D0038 - Frozen Foods</t>
        </is>
      </c>
      <c r="I49" s="189" t="n">
        <v>96.81</v>
      </c>
      <c r="J49" s="27" t="n"/>
    </row>
    <row r="50" ht="15" customHeight="1" thickBot="1">
      <c r="E50" s="69" t="n"/>
      <c r="F50" s="69" t="n"/>
      <c r="H50" s="27" t="inlineStr">
        <is>
          <t>D0039 - Non Food Retail</t>
        </is>
      </c>
      <c r="I50" s="189" t="n"/>
      <c r="J50" s="27" t="n"/>
    </row>
    <row r="51" ht="15.75" customHeight="1" thickBot="1">
      <c r="A51" s="114" t="inlineStr">
        <is>
          <t>Customer Information</t>
        </is>
      </c>
      <c r="B51" s="147" t="n"/>
      <c r="C51" s="56" t="inlineStr">
        <is>
          <t>Comments</t>
        </is>
      </c>
      <c r="D51" s="145" t="n"/>
      <c r="E51" s="146" t="n"/>
      <c r="F51" s="143" t="n"/>
      <c r="H51" s="27" t="inlineStr">
        <is>
          <t>D0047 - InStore Services</t>
        </is>
      </c>
      <c r="I51" s="189" t="n"/>
      <c r="J51" s="27" t="n"/>
    </row>
    <row r="52" ht="15" customHeight="1">
      <c r="A52" s="25" t="inlineStr">
        <is>
          <t>No of Customers</t>
        </is>
      </c>
      <c r="B52" s="204" t="n"/>
      <c r="C52" s="205" t="n"/>
      <c r="D52" s="206" t="n"/>
      <c r="E52" s="148" t="n"/>
      <c r="I52" s="207" t="n"/>
    </row>
    <row r="53" ht="15.75" customHeight="1" thickBot="1">
      <c r="A53" s="13" t="inlineStr">
        <is>
          <t>Average Spend</t>
        </is>
      </c>
      <c r="B53" s="208" t="n"/>
      <c r="C53" s="209" t="n"/>
      <c r="D53" s="210" t="n"/>
      <c r="E53" s="211" t="n"/>
      <c r="G53" s="143" t="n"/>
      <c r="H53" s="76" t="inlineStr">
        <is>
          <t>Total Weekly Waste</t>
        </is>
      </c>
      <c r="I53" s="212">
        <f>SUM(I30:I52)-I38</f>
        <v/>
      </c>
      <c r="J53" s="143" t="n"/>
      <c r="K53" s="143" t="n"/>
      <c r="L53" s="143" t="n"/>
      <c r="M53" s="143" t="n"/>
      <c r="N53" s="143" t="n"/>
      <c r="O53" s="143" t="n"/>
    </row>
    <row r="54" ht="15" customHeight="1">
      <c r="A54" s="13" t="inlineStr">
        <is>
          <t>No of Complaints</t>
        </is>
      </c>
      <c r="B54" s="96" t="n"/>
      <c r="C54" s="209" t="n"/>
      <c r="D54" s="210" t="n"/>
      <c r="E54" s="211" t="n"/>
    </row>
    <row r="55" ht="15" customHeight="1">
      <c r="A55" s="13" t="inlineStr">
        <is>
          <t>Accidents Reported</t>
        </is>
      </c>
      <c r="B55" s="11" t="n">
        <v>0</v>
      </c>
      <c r="C55" s="209" t="n"/>
      <c r="D55" s="210" t="n"/>
      <c r="E55" s="211" t="n"/>
    </row>
    <row r="56" ht="15.75" customHeight="1" thickBot="1">
      <c r="A56" s="14" t="inlineStr">
        <is>
          <t>Near Misses</t>
        </is>
      </c>
      <c r="B56" s="12" t="n">
        <v>0</v>
      </c>
      <c r="C56" s="213" t="n"/>
      <c r="D56" s="214" t="n"/>
      <c r="E56" s="215" t="n"/>
      <c r="G56" s="143" t="n"/>
    </row>
    <row r="57">
      <c r="G57" s="138" t="n"/>
    </row>
    <row r="58">
      <c r="G58" s="138" t="n"/>
    </row>
    <row r="59">
      <c r="G59" s="138" t="n"/>
    </row>
    <row r="60">
      <c r="G60" s="138" t="n"/>
    </row>
    <row r="61">
      <c r="G61" s="138" t="n"/>
    </row>
    <row r="62">
      <c r="G62" s="207" t="n"/>
    </row>
    <row r="63">
      <c r="G63" s="138" t="n"/>
    </row>
    <row r="64">
      <c r="G64" s="138" t="n"/>
    </row>
    <row r="66" ht="15" customHeight="1">
      <c r="G66" s="143" t="n"/>
    </row>
    <row r="67" ht="15" customFormat="1" customHeight="1" s="138">
      <c r="A67" s="1" t="n"/>
      <c r="B67" s="1" t="n"/>
      <c r="C67" s="1" t="n"/>
      <c r="G67" s="143" t="n"/>
      <c r="H67" s="143" t="n"/>
      <c r="I67" s="143" t="n"/>
      <c r="J67" s="143" t="n"/>
      <c r="K67" s="143" t="n"/>
      <c r="L67" s="143" t="n"/>
      <c r="M67" s="143" t="n"/>
      <c r="N67" s="143" t="n"/>
    </row>
  </sheetData>
  <mergeCells count="28">
    <mergeCell ref="C54:E54"/>
    <mergeCell ref="D3:G3"/>
    <mergeCell ref="B7:C7"/>
    <mergeCell ref="C55:E55"/>
    <mergeCell ref="G57:O57"/>
    <mergeCell ref="A51:B51"/>
    <mergeCell ref="G62:O62"/>
    <mergeCell ref="C56:E56"/>
    <mergeCell ref="C51:E51"/>
    <mergeCell ref="D6:E6"/>
    <mergeCell ref="C52:E52"/>
    <mergeCell ref="G58:O58"/>
    <mergeCell ref="G64:O64"/>
    <mergeCell ref="D7:E7"/>
    <mergeCell ref="G63:O63"/>
    <mergeCell ref="C53:E53"/>
    <mergeCell ref="G60:O60"/>
    <mergeCell ref="D4:E4"/>
    <mergeCell ref="G56:O56"/>
    <mergeCell ref="B9:C9"/>
    <mergeCell ref="D9:E9"/>
    <mergeCell ref="G59:O59"/>
    <mergeCell ref="D8:E8"/>
    <mergeCell ref="A27:D27"/>
    <mergeCell ref="D5:E5"/>
    <mergeCell ref="G61:O61"/>
    <mergeCell ref="A1:O1"/>
    <mergeCell ref="B4:C4"/>
  </mergeCells>
  <pageMargins left="0.7086614173228347" right="0.7086614173228347" top="0.7480314960629921" bottom="0.7480314960629921" header="0.3149606299212598" footer="0.3149606299212598"/>
  <pageSetup orientation="landscape" scale="3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Build Log - Week Ending 2026-06-27</t>
        </is>
      </c>
    </row>
    <row r="2">
      <c r="A2" t="inlineStr">
        <is>
          <t>Downloaded STOCKTAKE: C:\Users\halpi\OneDrive\Desktop\PNL\exports\2026-06-27\stocktake\Stocktake_2026-06-27.xlsx</t>
        </is>
      </c>
    </row>
    <row r="3">
      <c r="A3" t="inlineStr">
        <is>
          <t>Downloaded OPR_STANDARD_WEEK: C:\Users\halpi\OneDrive\Desktop\PNL\exports\2026-06-27\opr_standard\OPR_Standard_WEEK_2026-06-27.xlsx</t>
        </is>
      </c>
    </row>
    <row r="4">
      <c r="A4" t="inlineStr">
        <is>
          <t>Downloaded OPR_STANDARD_SAT: C:\Users\halpi\OneDrive\Desktop\PNL\exports\2026-06-27\opr_standard\OPR_Standard_SAT_2026-06-27.xlsx</t>
        </is>
      </c>
    </row>
    <row r="5">
      <c r="A5" t="inlineStr">
        <is>
          <t>Downloaded OPR_MEAT_WEEK: C:\Users\halpi\OneDrive\Desktop\PNL\exports\2026-06-27\opr_meat\OPR_Meat_WEEK_2026-06-27.xlsx</t>
        </is>
      </c>
    </row>
    <row r="6">
      <c r="A6" t="inlineStr">
        <is>
          <t>Downloaded OPR_MEAT_SAT: C:\Users\halpi\OneDrive\Desktop\PNL\exports\2026-06-27\opr_meat\OPR_Meat_SAT_2026-06-27.xlsx</t>
        </is>
      </c>
    </row>
    <row r="7">
      <c r="A7" t="inlineStr">
        <is>
          <t>Downloaded WASTE_WEEK: C:\Users\halpi\OneDrive\Desktop\PNL\exports\2026-06-27\waste\Waste_WEEK_2026-06-27.xlsx</t>
        </is>
      </c>
    </row>
    <row r="8">
      <c r="A8" t="inlineStr">
        <is>
          <t>Downloaded WASTE_DAY: C:\Users\halpi\OneDrive\Desktop\PNL\exports\2026-06-27\waste\Waste_DAY_2026-06-27.xlsx</t>
        </is>
      </c>
    </row>
    <row r="10">
      <c r="A10" t="inlineStr">
        <is>
          <t>INFO: No Supabase key - purchases skipped</t>
        </is>
      </c>
    </row>
    <row r="11">
      <c r="A11" t="inlineStr">
        <is>
          <t>INFO: Previous week file: Managers_Report_we_2026-06-20-v3.xlsx</t>
        </is>
      </c>
    </row>
    <row r="12">
      <c r="A12" t="inlineStr">
        <is>
          <t>OK opening stock from Managers_Report_we_2026-06-20-v3.xlsx</t>
        </is>
      </c>
    </row>
    <row r="13">
      <c r="A13" t="inlineStr">
        <is>
          <t>OK OPR std SAT: Cigarettes = 7652.95 row 13</t>
        </is>
      </c>
    </row>
    <row r="14">
      <c r="A14" t="inlineStr">
        <is>
          <t>OK OPR std SAT: Produce = 42313.26 row 22</t>
        </is>
      </c>
    </row>
    <row r="15">
      <c r="A15" t="inlineStr">
        <is>
          <t>OK OPR std SAT: Deli = 10663.41 row 23</t>
        </is>
      </c>
    </row>
    <row r="16">
      <c r="A16" t="inlineStr">
        <is>
          <t>OK OPR std SAT: Provisions = 26098.97 row 24</t>
        </is>
      </c>
    </row>
    <row r="17">
      <c r="A17" t="inlineStr">
        <is>
          <t>OK OPR meat SAT: Beef = 13832.32 row 16</t>
        </is>
      </c>
    </row>
    <row r="18">
      <c r="A18" t="inlineStr">
        <is>
          <t>OK OPR meat SAT: Lamb = 1490.55 row 17</t>
        </is>
      </c>
    </row>
    <row r="19">
      <c r="A19" t="inlineStr">
        <is>
          <t>OK OPR meat SAT: Pork = 1619.89 row 18</t>
        </is>
      </c>
    </row>
    <row r="20">
      <c r="A20" t="inlineStr">
        <is>
          <t>OK OPR meat SAT: Bacon &amp; Loose S.R.P = 876.64 row 19</t>
        </is>
      </c>
    </row>
    <row r="21">
      <c r="A21" t="inlineStr">
        <is>
          <t>OK OPR meat SAT: Poultry = 13289.83 row 20</t>
        </is>
      </c>
    </row>
    <row r="22">
      <c r="A22" t="inlineStr">
        <is>
          <t>OK OPR meat SAT: Fish = 5599.62 row 21</t>
        </is>
      </c>
    </row>
    <row r="23">
      <c r="A23" t="inlineStr">
        <is>
          <t>SKIP waste top-section: grocery_impulse row 30</t>
        </is>
      </c>
    </row>
    <row r="24">
      <c r="A24" t="inlineStr">
        <is>
          <t>SKIP waste top-section: grocery_edible row 31</t>
        </is>
      </c>
    </row>
    <row r="25">
      <c r="A25" t="inlineStr">
        <is>
          <t>SKIP waste top-section: grocery_non_food row 32</t>
        </is>
      </c>
    </row>
    <row r="26">
      <c r="A26" t="inlineStr">
        <is>
          <t>SKIP waste top-section: baby_kids row 33</t>
        </is>
      </c>
    </row>
    <row r="27">
      <c r="A27" t="inlineStr">
        <is>
          <t>SKIP waste top-section: personal_care row 34</t>
        </is>
      </c>
    </row>
    <row r="28">
      <c r="A28" t="inlineStr">
        <is>
          <t>OK waste: Produce = 888.48 row 37</t>
        </is>
      </c>
    </row>
    <row r="29">
      <c r="A29" t="inlineStr">
        <is>
          <t>SKIP waste top-section: meat_total row 38</t>
        </is>
      </c>
    </row>
    <row r="30">
      <c r="A30" t="inlineStr">
        <is>
          <t>OK waste: dairy = 403.77 row 45</t>
        </is>
      </c>
    </row>
    <row r="31">
      <c r="A31" t="inlineStr">
        <is>
          <t>OK waste: bread_cakes = 390.75 row 46</t>
        </is>
      </c>
    </row>
    <row r="32">
      <c r="A32" t="inlineStr">
        <is>
          <t>OK waste: Deli = 255.83 row 47</t>
        </is>
      </c>
    </row>
    <row r="33">
      <c r="A33" t="inlineStr">
        <is>
          <t>OK waste: Provisions = 1000.74 row 48</t>
        </is>
      </c>
    </row>
    <row r="34">
      <c r="A34" t="inlineStr">
        <is>
          <t>OK waste: frozen = 96.81 row 49</t>
        </is>
      </c>
    </row>
    <row r="35">
      <c r="A35" t="inlineStr">
        <is>
          <t>OK waste: Beef = 64.49 row 39</t>
        </is>
      </c>
    </row>
    <row r="36">
      <c r="A36" t="inlineStr">
        <is>
          <t>OK waste: Lamb = 38.36 row 40</t>
        </is>
      </c>
    </row>
    <row r="37">
      <c r="A37" t="inlineStr">
        <is>
          <t>OK waste: Pork = 6.96 row 41</t>
        </is>
      </c>
    </row>
    <row r="38">
      <c r="A38" t="inlineStr">
        <is>
          <t>OK waste: Bacon = 5.40 row 42</t>
        </is>
      </c>
    </row>
    <row r="39">
      <c r="A39" t="inlineStr">
        <is>
          <t>OK waste: Poultry = 30.29 row 43</t>
        </is>
      </c>
    </row>
    <row r="40">
      <c r="A40" t="inlineStr">
        <is>
          <t>OK waste: Fish = 522.70 row 44</t>
        </is>
      </c>
    </row>
    <row r="41">
      <c r="A41" t="inlineStr">
        <is>
          <t>SKIP waste top-section: beer_wine_spirits row 35</t>
        </is>
      </c>
    </row>
    <row r="42">
      <c r="A42" t="inlineStr">
        <is>
          <t>OK stocktake: Cigarettes = 131469.13 row 13</t>
        </is>
      </c>
    </row>
    <row r="43">
      <c r="A43" t="inlineStr">
        <is>
          <t>OK stocktake: Produce = 11162.64 row 22</t>
        </is>
      </c>
    </row>
    <row r="44">
      <c r="A44" t="inlineStr">
        <is>
          <t>OK stocktake: Fish = 1990.50 row 21</t>
        </is>
      </c>
    </row>
    <row r="45">
      <c r="A45" t="inlineStr">
        <is>
          <t>OK stocktake: Beef = 11161.92 row 16</t>
        </is>
      </c>
    </row>
    <row r="46">
      <c r="A46" t="inlineStr">
        <is>
          <t>OK stocktake: Pork = 1209.33 row 18</t>
        </is>
      </c>
    </row>
    <row r="47">
      <c r="A47" t="inlineStr">
        <is>
          <t>OK stocktake: Lamb = 1182.86 row 17</t>
        </is>
      </c>
    </row>
    <row r="48">
      <c r="A48" t="inlineStr">
        <is>
          <t>OK stocktake: Poultry = 2228.00 row 20</t>
        </is>
      </c>
    </row>
    <row r="49">
      <c r="A49" t="inlineStr">
        <is>
          <t>OK stocktake: Bacon &amp; Loose S.R.P = 512.42 row 19</t>
        </is>
      </c>
    </row>
    <row r="50">
      <c r="A50" t="inlineStr">
        <is>
          <t>OK stocktake: Deli = 3880.07 row 23</t>
        </is>
      </c>
    </row>
    <row r="51">
      <c r="A51" t="inlineStr">
        <is>
          <t>OK stocktake: Provisions = 25129.61 row 24</t>
        </is>
      </c>
    </row>
    <row r="52">
      <c r="A52" t="inlineStr">
        <is>
          <t>OK sales inc vat G4: 394761.22</t>
        </is>
      </c>
    </row>
    <row r="53">
      <c r="A53" t="inlineStr">
        <is>
          <t>OK sales ex vat G5: 361766.91</t>
        </is>
      </c>
    </row>
    <row r="54">
      <c r="A54" t="inlineStr">
        <is>
          <t>OK margin G6: 0.1759</t>
        </is>
      </c>
    </row>
    <row r="55">
      <c r="A55" t="inlineStr">
        <is>
          <t>OK scan margin std row 13: 0.13</t>
        </is>
      </c>
    </row>
    <row r="56">
      <c r="A56" t="inlineStr">
        <is>
          <t>OK scan margin std row 22: 0.19</t>
        </is>
      </c>
    </row>
    <row r="57">
      <c r="A57" t="inlineStr">
        <is>
          <t>OK scan margin std row 23: 0.39</t>
        </is>
      </c>
    </row>
    <row r="58">
      <c r="A58" t="inlineStr">
        <is>
          <t>OK scan margin std row 24: 0.19</t>
        </is>
      </c>
    </row>
    <row r="59">
      <c r="A59" t="inlineStr">
        <is>
          <t>OK scan margin meat row 16: 0.19</t>
        </is>
      </c>
    </row>
    <row r="60">
      <c r="A60" t="inlineStr">
        <is>
          <t>OK scan margin meat row 17: 0.24</t>
        </is>
      </c>
    </row>
    <row r="61">
      <c r="A61" t="inlineStr">
        <is>
          <t>OK scan margin meat row 18: 0.21</t>
        </is>
      </c>
    </row>
    <row r="62">
      <c r="A62" t="inlineStr">
        <is>
          <t>OK scan margin meat row 19: 0.11</t>
        </is>
      </c>
    </row>
    <row r="63">
      <c r="A63" t="inlineStr">
        <is>
          <t>OK scan margin meat row 20: 0.17</t>
        </is>
      </c>
    </row>
    <row r="64">
      <c r="A64" t="inlineStr">
        <is>
          <t>OK scan margin meat row 21: 0.18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Authorised</dc:creator>
  <dcterms:created xsi:type="dcterms:W3CDTF">2007-10-03T18:12:54Z</dcterms:created>
  <dcterms:modified xsi:type="dcterms:W3CDTF">2026-07-03T09:52:09Z</dcterms:modified>
  <cp:lastModifiedBy>424SKERRIESAD Admin</cp:lastModifiedBy>
  <cp:lastPrinted>2018-11-01T09:39:59Z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0x010100A0BBBD93967A6540B09C066FA8927728</vt:lpwstr>
  </property>
</Properties>
</file>