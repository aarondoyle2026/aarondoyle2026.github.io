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16.01.24" sheetId="1" state="visible" r:id="rId1"/>
    <sheet name="TEMPLATE" sheetId="2" state="visible" r:id="rId2"/>
    <sheet name="we 16.5.26" sheetId="3" state="visible" r:id="rId3"/>
    <sheet name="Log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&quot;€&quot;#,##0.00"/>
    <numFmt numFmtId="165" formatCode="&quot;€&quot;#,##0.00;[Red]\-&quot;€&quot;#,##0.00"/>
    <numFmt numFmtId="166" formatCode="[$-11809]0.00;\(0.00\)"/>
    <numFmt numFmtId="167" formatCode="&quot;€&quot;#,##0;[Red]\-&quot;€&quot;#,##0"/>
    <numFmt numFmtId="168" formatCode="_-* #,##0_-;\-* #,##0_-;_-* &quot;-&quot;??_-;_-@_-"/>
    <numFmt numFmtId="169" formatCode="0_ ;[Red]\-0\ "/>
  </numFmts>
  <fonts count="13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sz val="14"/>
    </font>
    <font>
      <name val="Arial"/>
      <family val="2"/>
      <sz val="18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11"/>
      <u val="single"/>
    </font>
    <font>
      <name val="Arial"/>
      <family val="2"/>
      <b val="1"/>
      <sz val="11"/>
    </font>
    <font>
      <name val="Arial"/>
      <family val="2"/>
      <color indexed="8"/>
      <sz val="11"/>
    </font>
    <font>
      <name val="Verdana"/>
      <family val="2"/>
      <color indexed="8"/>
      <sz val="1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</fills>
  <borders count="5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5" fillId="0" borderId="0"/>
    <xf numFmtId="44" fontId="5" fillId="0" borderId="0"/>
    <xf numFmtId="9" fontId="5" fillId="0" borderId="0"/>
    <xf numFmtId="0" fontId="1" fillId="0" borderId="0"/>
  </cellStyleXfs>
  <cellXfs count="2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1" pivotButton="0" quotePrefix="0" xfId="0"/>
    <xf numFmtId="0" fontId="8" fillId="0" borderId="0" pivotButton="0" quotePrefix="0" xfId="0"/>
    <xf numFmtId="0" fontId="6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/>
    </xf>
    <xf numFmtId="0" fontId="8" fillId="0" borderId="1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0" fontId="6" fillId="0" borderId="2" pivotButton="0" quotePrefix="0" xfId="0"/>
    <xf numFmtId="0" fontId="6" fillId="0" borderId="15" pivotButton="0" quotePrefix="0" xfId="0"/>
    <xf numFmtId="0" fontId="8" fillId="0" borderId="12" pivotButton="0" quotePrefix="0" xfId="0"/>
    <xf numFmtId="0" fontId="8" fillId="0" borderId="14" pivotButton="0" quotePrefix="0" xfId="0"/>
    <xf numFmtId="0" fontId="8" fillId="0" borderId="2" pivotButton="0" quotePrefix="0" xfId="0"/>
    <xf numFmtId="0" fontId="8" fillId="0" borderId="23" pivotButton="0" quotePrefix="0" xfId="0"/>
    <xf numFmtId="0" fontId="8" fillId="0" borderId="16" pivotButton="0" quotePrefix="0" xfId="0"/>
    <xf numFmtId="0" fontId="6" fillId="0" borderId="24" pivotButton="0" quotePrefix="0" xfId="0"/>
    <xf numFmtId="0" fontId="6" fillId="0" borderId="0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0" fontId="9" fillId="0" borderId="22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164" fontId="6" fillId="0" borderId="30" applyAlignment="1" pivotButton="0" quotePrefix="0" xfId="0">
      <alignment horizontal="center"/>
    </xf>
    <xf numFmtId="0" fontId="8" fillId="0" borderId="24" pivotButton="0" quotePrefix="0" xfId="0"/>
    <xf numFmtId="164" fontId="8" fillId="0" borderId="0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0" fontId="6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6" fontId="10" fillId="0" borderId="0" applyAlignment="1" applyProtection="1" pivotButton="0" quotePrefix="0" xfId="0">
      <alignment horizontal="center" vertical="top" wrapText="1" readingOrder="1"/>
      <protection locked="0" hidden="0"/>
    </xf>
    <xf numFmtId="0" fontId="4" fillId="0" borderId="0" applyAlignment="1" applyProtection="1" pivotButton="0" quotePrefix="0" xfId="0">
      <alignment horizontal="center" vertical="top" wrapText="1"/>
      <protection locked="0" hidden="0"/>
    </xf>
    <xf numFmtId="164" fontId="6" fillId="2" borderId="2" pivotButton="0" quotePrefix="0" xfId="1"/>
    <xf numFmtId="164" fontId="6" fillId="2" borderId="16" pivotButton="0" quotePrefix="0" xfId="1"/>
    <xf numFmtId="164" fontId="9" fillId="2" borderId="25" pivotButton="0" quotePrefix="0" xfId="4"/>
    <xf numFmtId="164" fontId="9" fillId="2" borderId="2" pivotButton="0" quotePrefix="0" xfId="4"/>
    <xf numFmtId="167" fontId="6" fillId="2" borderId="30" applyAlignment="1" pivotButton="0" quotePrefix="0" xfId="3">
      <alignment horizontal="center"/>
    </xf>
    <xf numFmtId="10" fontId="6" fillId="2" borderId="30" applyAlignment="1" pivotButton="0" quotePrefix="0" xfId="3">
      <alignment horizontal="center"/>
    </xf>
    <xf numFmtId="10" fontId="6" fillId="2" borderId="2" applyAlignment="1" pivotButton="0" quotePrefix="0" xfId="0">
      <alignment horizontal="center"/>
    </xf>
    <xf numFmtId="10" fontId="6" fillId="3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0" fontId="6" fillId="0" borderId="2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0" fontId="2" fillId="2" borderId="25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9" fillId="2" borderId="16" applyAlignment="1" pivotButton="0" quotePrefix="0" xfId="0">
      <alignment horizontal="center"/>
    </xf>
    <xf numFmtId="168" fontId="6" fillId="2" borderId="25" pivotButton="0" quotePrefix="0" xfId="1"/>
    <xf numFmtId="164" fontId="6" fillId="2" borderId="2" pivotButton="0" quotePrefix="0" xfId="0"/>
    <xf numFmtId="0" fontId="6" fillId="2" borderId="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8" fillId="0" borderId="22" pivotButton="0" quotePrefix="0" xfId="0"/>
    <xf numFmtId="0" fontId="8" fillId="0" borderId="22" applyAlignment="1" pivotButton="0" quotePrefix="0" xfId="0">
      <alignment horizontal="center"/>
    </xf>
    <xf numFmtId="0" fontId="8" fillId="0" borderId="22" applyAlignment="1" pivotButton="0" quotePrefix="0" xfId="0">
      <alignment horizontal="center" wrapText="1"/>
    </xf>
    <xf numFmtId="0" fontId="8" fillId="0" borderId="35" applyAlignment="1" pivotButton="0" quotePrefix="0" xfId="0">
      <alignment horizontal="center"/>
    </xf>
    <xf numFmtId="167" fontId="6" fillId="2" borderId="33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6" fillId="0" borderId="25" applyAlignment="1" pivotButton="0" quotePrefix="0" xfId="0">
      <alignment horizontal="center"/>
    </xf>
    <xf numFmtId="164" fontId="6" fillId="0" borderId="32" applyAlignment="1" pivotButton="0" quotePrefix="0" xfId="0">
      <alignment horizontal="center"/>
    </xf>
    <xf numFmtId="10" fontId="6" fillId="3" borderId="3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43" fontId="6" fillId="0" borderId="0" applyAlignment="1" pivotButton="0" quotePrefix="0" xfId="1">
      <alignment horizontal="center"/>
    </xf>
    <xf numFmtId="0" fontId="6" fillId="0" borderId="2" applyAlignment="1" pivotButton="0" quotePrefix="1" xfId="0">
      <alignment horizontal="center"/>
    </xf>
    <xf numFmtId="0" fontId="6" fillId="3" borderId="0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0" fontId="4" fillId="4" borderId="0" applyAlignment="1" applyProtection="1" pivotButton="0" quotePrefix="0" xfId="0">
      <alignment horizontal="center" vertical="top" wrapText="1"/>
      <protection locked="0" hidden="0"/>
    </xf>
    <xf numFmtId="165" fontId="8" fillId="4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165" fontId="8" fillId="4" borderId="36" applyAlignment="1" pivotButton="0" quotePrefix="0" xfId="0">
      <alignment horizontal="center"/>
    </xf>
    <xf numFmtId="0" fontId="8" fillId="4" borderId="36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0" fontId="8" fillId="0" borderId="18" pivotButton="0" quotePrefix="0" xfId="0"/>
    <xf numFmtId="0" fontId="8" fillId="0" borderId="19" pivotButton="0" quotePrefix="0" xfId="0"/>
    <xf numFmtId="164" fontId="8" fillId="0" borderId="19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4" applyAlignment="1" pivotButton="0" quotePrefix="0" xfId="0">
      <alignment horizontal="center"/>
    </xf>
    <xf numFmtId="0" fontId="8" fillId="0" borderId="28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0" fontId="8" fillId="0" borderId="23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5" fontId="8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4" fontId="9" fillId="0" borderId="25" applyAlignment="1" pivotButton="0" quotePrefix="0" xfId="4">
      <alignment horizontal="center"/>
    </xf>
    <xf numFmtId="164" fontId="6" fillId="0" borderId="25" applyAlignment="1" pivotButton="0" quotePrefix="0" xfId="1">
      <alignment horizontal="center"/>
    </xf>
    <xf numFmtId="167" fontId="6" fillId="2" borderId="31" applyAlignment="1" pivotButton="0" quotePrefix="0" xfId="0">
      <alignment horizontal="center"/>
    </xf>
    <xf numFmtId="0" fontId="6" fillId="2" borderId="2" pivotButton="0" quotePrefix="0" xfId="0"/>
    <xf numFmtId="0" fontId="6" fillId="0" borderId="16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6" fillId="0" borderId="25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0" borderId="2" applyAlignment="1" pivotButton="0" quotePrefix="0" xfId="0">
      <alignment horizontal="center"/>
    </xf>
    <xf numFmtId="164" fontId="6" fillId="0" borderId="2" applyAlignment="1" pivotButton="0" quotePrefix="0" xfId="1">
      <alignment horizontal="center"/>
    </xf>
    <xf numFmtId="164" fontId="6" fillId="3" borderId="16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0" fontId="8" fillId="0" borderId="12" applyAlignment="1" pivotButton="0" quotePrefix="0" xfId="0">
      <alignment horizontal="center"/>
    </xf>
    <xf numFmtId="0" fontId="8" fillId="0" borderId="3" applyAlignment="1" pivotButton="0" quotePrefix="0" xfId="0">
      <alignment horizontal="center"/>
    </xf>
    <xf numFmtId="0" fontId="3" fillId="2" borderId="5" applyAlignment="1" pivotButton="0" quotePrefix="0" xfId="0">
      <alignment horizontal="left"/>
    </xf>
    <xf numFmtId="0" fontId="3" fillId="2" borderId="6" applyAlignment="1" pivotButton="0" quotePrefix="0" xfId="0">
      <alignment horizontal="left"/>
    </xf>
    <xf numFmtId="0" fontId="3" fillId="2" borderId="7" applyAlignment="1" pivotButton="0" quotePrefix="0" xfId="0">
      <alignment horizontal="left"/>
    </xf>
    <xf numFmtId="0" fontId="8" fillId="0" borderId="18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8" fillId="0" borderId="34" applyAlignment="1" pivotButton="0" quotePrefix="0" xfId="0">
      <alignment horizontal="center"/>
    </xf>
    <xf numFmtId="0" fontId="8" fillId="0" borderId="2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0" borderId="11" applyAlignment="1" pivotButton="0" quotePrefix="0" xfId="0">
      <alignment horizontal="center"/>
    </xf>
    <xf numFmtId="0" fontId="8" fillId="0" borderId="24" applyAlignment="1" pivotButton="0" quotePrefix="0" xfId="0">
      <alignment horizontal="center"/>
    </xf>
    <xf numFmtId="0" fontId="8" fillId="0" borderId="3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6" fillId="0" borderId="2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6" fillId="2" borderId="11" applyAlignment="1" pivotButton="0" quotePrefix="0" xfId="0">
      <alignment horizontal="center"/>
    </xf>
    <xf numFmtId="14" fontId="6" fillId="2" borderId="1" applyAlignment="1" pivotButton="0" quotePrefix="0" xfId="0">
      <alignment horizontal="center"/>
    </xf>
    <xf numFmtId="14" fontId="6" fillId="2" borderId="11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0" fontId="8" fillId="0" borderId="27" applyAlignment="1" pivotButton="0" quotePrefix="0" xfId="0">
      <alignment horizontal="center"/>
    </xf>
    <xf numFmtId="0" fontId="8" fillId="0" borderId="8" applyAlignment="1" pivotButton="0" quotePrefix="0" xfId="0">
      <alignment horizontal="center"/>
    </xf>
    <xf numFmtId="0" fontId="8" fillId="0" borderId="9" applyAlignment="1" pivotButton="0" quotePrefix="0" xfId="0">
      <alignment horizontal="center"/>
    </xf>
    <xf numFmtId="0" fontId="8" fillId="0" borderId="10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6" applyAlignment="1" pivotButton="0" quotePrefix="0" xfId="0">
      <alignment horizontal="center"/>
    </xf>
    <xf numFmtId="0" fontId="8" fillId="0" borderId="7" applyAlignment="1" pivotButton="0" quotePrefix="0" xfId="0">
      <alignment horizontal="center"/>
    </xf>
    <xf numFmtId="0" fontId="6" fillId="0" borderId="32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6" fillId="0" borderId="27" applyAlignment="1" pivotButton="0" quotePrefix="0" xfId="0">
      <alignment horizontal="center"/>
    </xf>
    <xf numFmtId="0" fontId="6" fillId="0" borderId="28" applyAlignment="1" pivotButton="0" quotePrefix="0" xfId="0">
      <alignment horizontal="center"/>
    </xf>
    <xf numFmtId="0" fontId="6" fillId="0" borderId="29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3" fillId="2" borderId="22" applyAlignment="1" pivotButton="0" quotePrefix="0" xfId="0">
      <alignment horizontal="left"/>
    </xf>
    <xf numFmtId="0" fontId="0" fillId="0" borderId="6" pivotButton="0" quotePrefix="0" xfId="0"/>
    <xf numFmtId="0" fontId="0" fillId="0" borderId="7" pivotButton="0" quotePrefix="0" xfId="0"/>
    <xf numFmtId="0" fontId="0" fillId="0" borderId="48" pivotButton="0" quotePrefix="0" xfId="0"/>
    <xf numFmtId="0" fontId="0" fillId="0" borderId="11" pivotButton="0" quotePrefix="0" xfId="0"/>
    <xf numFmtId="0" fontId="0" fillId="0" borderId="51" pivotButton="0" quotePrefix="0" xfId="0"/>
    <xf numFmtId="167" fontId="6" fillId="2" borderId="33" applyAlignment="1" pivotButton="0" quotePrefix="0" xfId="0">
      <alignment horizontal="center"/>
    </xf>
    <xf numFmtId="0" fontId="0" fillId="0" borderId="42" pivotButton="0" quotePrefix="0" xfId="0"/>
    <xf numFmtId="164" fontId="6" fillId="0" borderId="30" applyAlignment="1" pivotButton="0" quotePrefix="0" xfId="0">
      <alignment horizontal="center"/>
    </xf>
    <xf numFmtId="167" fontId="6" fillId="2" borderId="30" applyAlignment="1" pivotButton="0" quotePrefix="0" xfId="3">
      <alignment horizontal="center"/>
    </xf>
    <xf numFmtId="0" fontId="0" fillId="0" borderId="43" pivotButton="0" quotePrefix="0" xfId="0"/>
    <xf numFmtId="167" fontId="6" fillId="2" borderId="31" applyAlignment="1" pivotButton="0" quotePrefix="0" xfId="0">
      <alignment horizontal="center"/>
    </xf>
    <xf numFmtId="164" fontId="9" fillId="2" borderId="25" pivotButton="0" quotePrefix="0" xfId="4"/>
    <xf numFmtId="164" fontId="6" fillId="0" borderId="25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9" fillId="0" borderId="25" applyAlignment="1" pivotButton="0" quotePrefix="0" xfId="4">
      <alignment horizontal="center"/>
    </xf>
    <xf numFmtId="164" fontId="6" fillId="0" borderId="3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164" fontId="9" fillId="2" borderId="2" pivotButton="0" quotePrefix="0" xfId="4"/>
    <xf numFmtId="164" fontId="6" fillId="0" borderId="2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0" borderId="25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164" fontId="6" fillId="2" borderId="2" pivotButton="0" quotePrefix="0" xfId="1"/>
    <xf numFmtId="164" fontId="6" fillId="0" borderId="2" applyAlignment="1" pivotButton="0" quotePrefix="0" xfId="1">
      <alignment horizontal="center"/>
    </xf>
    <xf numFmtId="164" fontId="6" fillId="2" borderId="16" pivotButton="0" quotePrefix="0" xfId="1"/>
    <xf numFmtId="164" fontId="6" fillId="3" borderId="16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165" fontId="8" fillId="4" borderId="2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0" fontId="0" fillId="0" borderId="46" pivotButton="0" quotePrefix="0" xfId="0"/>
    <xf numFmtId="0" fontId="0" fillId="0" borderId="47" pivotButton="0" quotePrefix="0" xfId="0"/>
    <xf numFmtId="43" fontId="6" fillId="0" borderId="0" applyAlignment="1" pivotButton="0" quotePrefix="0" xfId="1">
      <alignment horizontal="center"/>
    </xf>
    <xf numFmtId="164" fontId="8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65" fontId="8" fillId="2" borderId="2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4" fontId="8" fillId="0" borderId="19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168" fontId="6" fillId="2" borderId="25" pivotButton="0" quotePrefix="0" xfId="1"/>
    <xf numFmtId="0" fontId="6" fillId="0" borderId="26" applyAlignment="1" pivotButton="0" quotePrefix="0" xfId="0">
      <alignment horizontal="center"/>
    </xf>
    <xf numFmtId="0" fontId="0" fillId="0" borderId="1" pivotButton="0" quotePrefix="0" xfId="0"/>
    <xf numFmtId="165" fontId="6" fillId="0" borderId="0" applyAlignment="1" pivotButton="0" quotePrefix="0" xfId="0">
      <alignment horizontal="center"/>
    </xf>
    <xf numFmtId="164" fontId="6" fillId="2" borderId="2" pivotButton="0" quotePrefix="0" xfId="0"/>
    <xf numFmtId="0" fontId="6" fillId="0" borderId="13" applyAlignment="1" pivotButton="0" quotePrefix="0" xfId="0">
      <alignment horizontal="center"/>
    </xf>
    <xf numFmtId="0" fontId="0" fillId="0" borderId="4" pivotButton="0" quotePrefix="0" xfId="0"/>
    <xf numFmtId="0" fontId="0" fillId="0" borderId="21" pivotButton="0" quotePrefix="0" xfId="0"/>
    <xf numFmtId="165" fontId="8" fillId="4" borderId="36" applyAlignment="1" pivotButton="0" quotePrefix="0" xfId="0">
      <alignment horizontal="center"/>
    </xf>
    <xf numFmtId="0" fontId="6" fillId="0" borderId="37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</cellXfs>
  <cellStyles count="5">
    <cellStyle name="Normal" xfId="0" builtinId="0"/>
    <cellStyle name="Comma" xfId="1" builtinId="3"/>
    <cellStyle name="Currency" xfId="2" builtinId="4"/>
    <cellStyle name="Percent" xfId="3" builtinId="5"/>
    <cellStyle name="Normal 2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2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3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C16" sqref="C16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 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 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 t="n">
        <v>0</v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0</v>
      </c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0</v>
      </c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0</v>
      </c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0</v>
      </c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0</v>
      </c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0</v>
      </c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0</v>
      </c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0</v>
      </c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0</v>
      </c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tabSelected="1" topLeftCell="A10" workbookViewId="0">
      <selection activeCell="B25" sqref="B25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/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/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/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/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/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/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/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/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/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A1" sqref="A1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>
        <v>368436.45</v>
      </c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>
        <v>340018.57336</v>
      </c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>
        <v>0.175269942289014</v>
      </c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>
        <v>102500.77</v>
      </c>
      <c r="D13" s="158" t="n">
        <v>823.9</v>
      </c>
      <c r="E13" s="159" t="n">
        <v>1284.422104204126</v>
      </c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>
        <v>0.12371212588697</v>
      </c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10553.06</v>
      </c>
      <c r="D16" s="167" t="n">
        <v>9782.189999999999</v>
      </c>
      <c r="E16" s="168" t="n">
        <v>12520.9</v>
      </c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>
        <v>0.205083592737876</v>
      </c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1275.48</v>
      </c>
      <c r="D17" s="168" t="n">
        <v>1305.81</v>
      </c>
      <c r="E17" s="168" t="n">
        <v>1591.76</v>
      </c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>
        <v>0.244715593540754</v>
      </c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1486.35</v>
      </c>
      <c r="D18" s="167" t="n">
        <v>1278.54</v>
      </c>
      <c r="E18" s="168" t="n">
        <v>1709.43</v>
      </c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>
        <v>0.206539820447632</v>
      </c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843.39</v>
      </c>
      <c r="D19" s="167" t="n">
        <v>1044.86</v>
      </c>
      <c r="E19" s="168" t="n">
        <v>1125.56</v>
      </c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>
        <v>0.116175806394878</v>
      </c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3004.79</v>
      </c>
      <c r="D20" s="168" t="n">
        <v>2733.67</v>
      </c>
      <c r="E20" s="168" t="n">
        <v>25390.16</v>
      </c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>
        <v>0.16405310293873</v>
      </c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2314.45</v>
      </c>
      <c r="D21" s="167" t="n">
        <v>2280.55</v>
      </c>
      <c r="E21" s="168" t="n">
        <v>6083.82</v>
      </c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>
        <v>0.191766155248264</v>
      </c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9107.02000000001</v>
      </c>
      <c r="D22" s="168" t="n">
        <v>9900.54000000001</v>
      </c>
      <c r="E22" s="168" t="n">
        <v>6547.114535375959</v>
      </c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>
        <v>0.191284635873608</v>
      </c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3715.48</v>
      </c>
      <c r="D23" s="168" t="n"/>
      <c r="E23" s="168" t="n">
        <v>1488.517014878284</v>
      </c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>
        <v>0.415147275490546</v>
      </c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162.68</v>
      </c>
      <c r="D24" s="175" t="n">
        <v>107.03</v>
      </c>
      <c r="E24" s="168" t="n">
        <v>4358.191001925469</v>
      </c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>
        <v>0.197147435548971</v>
      </c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>
        <v>434.671</v>
      </c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>
        <v>199.712</v>
      </c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>
        <v>87.02500000000001</v>
      </c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>
        <v>41.13</v>
      </c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>
        <v>54.146</v>
      </c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>
        <v>42.246</v>
      </c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>
        <v>1393.823</v>
      </c>
      <c r="J37" s="27" t="n"/>
    </row>
    <row r="38">
      <c r="E38" s="182" t="n"/>
      <c r="F38" s="182" t="n"/>
      <c r="H38" s="27" t="inlineStr">
        <is>
          <t>D0033 - Meat , Poultry , Fish</t>
        </is>
      </c>
      <c r="I38" s="162" t="n">
        <v>841.3330000000001</v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>
        <v>84.06999999999999</v>
      </c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>
        <v>93.542</v>
      </c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>
        <v>81.86500000000001</v>
      </c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>
        <v>60.268</v>
      </c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>
        <v>202.38</v>
      </c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>
        <v>862.6469999999999</v>
      </c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>
        <v>379.4</v>
      </c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>
        <v>735.6320000000001</v>
      </c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>
        <v>1253.179</v>
      </c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>
        <v>1136.11</v>
      </c>
      <c r="J48" s="27" t="n"/>
    </row>
    <row r="49">
      <c r="E49" s="203" t="n"/>
      <c r="F49" s="203" t="n"/>
      <c r="H49" s="27" t="inlineStr">
        <is>
          <t>D0038 - Frozen Foods</t>
        </is>
      </c>
      <c r="I49" s="189" t="n">
        <v>128.176</v>
      </c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P&amp;L Build Log - Week Ending 2026-05-16</t>
        </is>
      </c>
    </row>
    <row r="2">
      <c r="A2" t="inlineStr">
        <is>
          <t>Downloaded STOCKTAKE: C:\Users\halpi\OneDrive\Desktop\PNL\exports\2026-05-16\stocktake\Stocktake_2026-05-16.xlsx</t>
        </is>
      </c>
    </row>
    <row r="3">
      <c r="A3" t="inlineStr">
        <is>
          <t>Downloaded OPR_STANDARD_WEEK: C:\Users\halpi\OneDrive\Desktop\PNL\exports\2026-05-16\opr_standard\OPR_Standard_WEEK_2026-05-16.xlsx</t>
        </is>
      </c>
    </row>
    <row r="4">
      <c r="A4" t="inlineStr">
        <is>
          <t>Downloaded OPR_STANDARD_DAY: C:\Users\halpi\OneDrive\Desktop\PNL\exports\2026-05-16\opr_standard\OPR_Standard_DAY_2026-05-16.xlsx</t>
        </is>
      </c>
    </row>
    <row r="5">
      <c r="A5" t="inlineStr">
        <is>
          <t>Downloaded OPR_STANDARD_SAT: C:\Users\halpi\OneDrive\Desktop\PNL\exports\2026-05-16\opr_standard\OPR_Standard_SAT_2026-05-16.xlsx</t>
        </is>
      </c>
    </row>
    <row r="6">
      <c r="A6" t="inlineStr">
        <is>
          <t>Downloaded OPR_MEAT_WEEK: C:\Users\halpi\OneDrive\Desktop\PNL\exports\2026-05-16\opr_meat\OPR_Meat_WEEK_2026-05-16.xlsx</t>
        </is>
      </c>
    </row>
    <row r="7">
      <c r="A7" t="inlineStr">
        <is>
          <t>Downloaded OPR_MEAT_DAY: C:\Users\halpi\OneDrive\Desktop\PNL\exports\2026-05-16\opr_meat\OPR_Meat_DAY_2026-05-16.xlsx</t>
        </is>
      </c>
    </row>
    <row r="8">
      <c r="A8" t="inlineStr">
        <is>
          <t>Downloaded OPR_MEAT_SAT: C:\Users\halpi\OneDrive\Desktop\PNL\exports\2026-05-16\opr_meat\OPR_Meat_SAT_2026-05-16.xlsx</t>
        </is>
      </c>
    </row>
    <row r="9">
      <c r="A9" t="inlineStr">
        <is>
          <t>Downloaded WASTE_WEEK: C:\Users\halpi\OneDrive\Desktop\PNL\exports\2026-05-16\waste\Waste_WEEK_2026-05-16.xlsx</t>
        </is>
      </c>
    </row>
    <row r="10">
      <c r="A10" t="inlineStr">
        <is>
          <t>Downloaded WASTE_DAY: C:\Users\halpi\OneDrive\Desktop\PNL\exports\2026-05-16\waste\Waste_DAY_2026-05-16.xlsx</t>
        </is>
      </c>
    </row>
    <row r="12">
      <c r="A12" t="inlineStr">
        <is>
          <t>INFO: No Supabase key - purchases skipped</t>
        </is>
      </c>
    </row>
    <row r="13">
      <c r="A13" t="inlineStr">
        <is>
          <t>INFO: Previous week file: Managers_Report_we_2026-05-09-v3.xlsx</t>
        </is>
      </c>
    </row>
    <row r="14">
      <c r="A14" t="inlineStr">
        <is>
          <t>OK opening stock from Managers_Report_we_2026-05-09-v3.xlsx</t>
        </is>
      </c>
    </row>
    <row r="15">
      <c r="A15" t="inlineStr">
        <is>
          <t>OK OPR std: Cigarettes = 1284.42 row 13</t>
        </is>
      </c>
    </row>
    <row r="16">
      <c r="A16" t="inlineStr">
        <is>
          <t>OK OPR std: Produce = 6547.11 row 22</t>
        </is>
      </c>
    </row>
    <row r="17">
      <c r="A17" t="inlineStr">
        <is>
          <t>OK OPR std: Deli = 1488.52 row 23</t>
        </is>
      </c>
    </row>
    <row r="18">
      <c r="A18" t="inlineStr">
        <is>
          <t>OK OPR std: Provisions = 4358.19 row 24</t>
        </is>
      </c>
    </row>
    <row r="19">
      <c r="A19" t="inlineStr">
        <is>
          <t>OK OPR meat: Beef = 12520.90 row 16</t>
        </is>
      </c>
    </row>
    <row r="20">
      <c r="A20" t="inlineStr">
        <is>
          <t>OK OPR meat: Lamb = 1591.76 row 17</t>
        </is>
      </c>
    </row>
    <row r="21">
      <c r="A21" t="inlineStr">
        <is>
          <t>OK OPR meat: Pork = 1709.43 row 18</t>
        </is>
      </c>
    </row>
    <row r="22">
      <c r="A22" t="inlineStr">
        <is>
          <t>OK OPR meat: Bacon &amp; Loose S.R.P = 1125.56 row 19</t>
        </is>
      </c>
    </row>
    <row r="23">
      <c r="A23" t="inlineStr">
        <is>
          <t>OK OPR meat: Poultry = 25390.16 row 20</t>
        </is>
      </c>
    </row>
    <row r="24">
      <c r="A24" t="inlineStr">
        <is>
          <t>OK OPR meat: Fish = 6083.82 row 21</t>
        </is>
      </c>
    </row>
    <row r="25">
      <c r="A25" t="inlineStr">
        <is>
          <t>OK waste: grocery_impulse = 434.67 row 30</t>
        </is>
      </c>
    </row>
    <row r="26">
      <c r="A26" t="inlineStr">
        <is>
          <t>OK waste: grocery_edible = 199.71 row 31</t>
        </is>
      </c>
    </row>
    <row r="27">
      <c r="A27" t="inlineStr">
        <is>
          <t>OK waste: grocery_non_food = 87.03 row 32</t>
        </is>
      </c>
    </row>
    <row r="28">
      <c r="A28" t="inlineStr">
        <is>
          <t>OK waste: baby_kids = 41.13 row 33</t>
        </is>
      </c>
    </row>
    <row r="29">
      <c r="A29" t="inlineStr">
        <is>
          <t>OK waste: personal_care = 54.15 row 34</t>
        </is>
      </c>
    </row>
    <row r="30">
      <c r="A30" t="inlineStr">
        <is>
          <t>OK waste: beer_wine_spirits = 42.25 row 35</t>
        </is>
      </c>
    </row>
    <row r="31">
      <c r="A31" t="inlineStr">
        <is>
          <t>OK waste: Produce = 1393.82 row 37</t>
        </is>
      </c>
    </row>
    <row r="32">
      <c r="A32" t="inlineStr">
        <is>
          <t>OK waste: meat_total = 841.33 row 38</t>
        </is>
      </c>
    </row>
    <row r="33">
      <c r="A33" t="inlineStr">
        <is>
          <t>OK waste: Fish = 862.65 row 44</t>
        </is>
      </c>
    </row>
    <row r="34">
      <c r="A34" t="inlineStr">
        <is>
          <t>OK waste: Bacon = 60.27 row 42</t>
        </is>
      </c>
    </row>
    <row r="35">
      <c r="A35" t="inlineStr">
        <is>
          <t>OK waste: dairy = 379.40 row 45</t>
        </is>
      </c>
    </row>
    <row r="36">
      <c r="A36" t="inlineStr">
        <is>
          <t>OK waste: bread_cakes = 735.63 row 46</t>
        </is>
      </c>
    </row>
    <row r="37">
      <c r="A37" t="inlineStr">
        <is>
          <t>OK waste: Deli = 1253.18 row 47</t>
        </is>
      </c>
    </row>
    <row r="38">
      <c r="A38" t="inlineStr">
        <is>
          <t>OK waste: Provisions = 1136.11 row 48</t>
        </is>
      </c>
    </row>
    <row r="39">
      <c r="A39" t="inlineStr">
        <is>
          <t>OK waste: frozen = 128.18 row 49</t>
        </is>
      </c>
    </row>
    <row r="40">
      <c r="A40" t="inlineStr">
        <is>
          <t>OK waste: Beef = 84.07 row 39</t>
        </is>
      </c>
    </row>
    <row r="41">
      <c r="A41" t="inlineStr">
        <is>
          <t>OK waste: Lamb = 93.54 row 40</t>
        </is>
      </c>
    </row>
    <row r="42">
      <c r="A42" t="inlineStr">
        <is>
          <t>OK waste: Pork = 81.87 row 41</t>
        </is>
      </c>
    </row>
    <row r="43">
      <c r="A43" t="inlineStr">
        <is>
          <t>OK waste: Poultry = 202.38 row 43</t>
        </is>
      </c>
    </row>
    <row r="44">
      <c r="A44" t="inlineStr">
        <is>
          <t>OK stocktake: Cigarettes = 823.90 row 13</t>
        </is>
      </c>
    </row>
    <row r="45">
      <c r="A45" t="inlineStr">
        <is>
          <t>OK stocktake: Produce = 9900.54 row 22</t>
        </is>
      </c>
    </row>
    <row r="46">
      <c r="A46" t="inlineStr">
        <is>
          <t>OK stocktake: Fish = 2280.55 row 21</t>
        </is>
      </c>
    </row>
    <row r="47">
      <c r="A47" t="inlineStr">
        <is>
          <t>OK stocktake: Beef = 9782.19 row 16</t>
        </is>
      </c>
    </row>
    <row r="48">
      <c r="A48" t="inlineStr">
        <is>
          <t>OK stocktake: Lamb = 1305.81 row 17</t>
        </is>
      </c>
    </row>
    <row r="49">
      <c r="A49" t="inlineStr">
        <is>
          <t>OK stocktake: Pork = 1278.54 row 18</t>
        </is>
      </c>
    </row>
    <row r="50">
      <c r="A50" t="inlineStr">
        <is>
          <t>OK stocktake: Poultry = 2733.67 row 20</t>
        </is>
      </c>
    </row>
    <row r="51">
      <c r="A51" t="inlineStr">
        <is>
          <t>OK stocktake: Bacon &amp; Loose S.R.P = 1044.86 row 19</t>
        </is>
      </c>
    </row>
    <row r="52">
      <c r="A52" t="inlineStr">
        <is>
          <t>OK stocktake: Provisions = 107.03 row 24</t>
        </is>
      </c>
    </row>
    <row r="53">
      <c r="A53" t="inlineStr">
        <is>
          <t>OK sales inc vat G4: 368436.45</t>
        </is>
      </c>
    </row>
    <row r="54">
      <c r="A54" t="inlineStr">
        <is>
          <t>OK sales ex vat G5: 340018.57</t>
        </is>
      </c>
    </row>
    <row r="55">
      <c r="A55" t="inlineStr">
        <is>
          <t>OK margin G6: 0.1753</t>
        </is>
      </c>
    </row>
    <row r="56">
      <c r="A56" t="inlineStr">
        <is>
          <t>OK scan margin std row 13: 0.12</t>
        </is>
      </c>
    </row>
    <row r="57">
      <c r="A57" t="inlineStr">
        <is>
          <t>OK scan margin std row 22: 0.19</t>
        </is>
      </c>
    </row>
    <row r="58">
      <c r="A58" t="inlineStr">
        <is>
          <t>OK scan margin std row 23: 0.42</t>
        </is>
      </c>
    </row>
    <row r="59">
      <c r="A59" t="inlineStr">
        <is>
          <t>OK scan margin std row 24: 0.20</t>
        </is>
      </c>
    </row>
    <row r="60">
      <c r="A60" t="inlineStr">
        <is>
          <t>OK scan margin meat row 16: 0.21</t>
        </is>
      </c>
    </row>
    <row r="61">
      <c r="A61" t="inlineStr">
        <is>
          <t>OK scan margin meat row 17: 0.24</t>
        </is>
      </c>
    </row>
    <row r="62">
      <c r="A62" t="inlineStr">
        <is>
          <t>OK scan margin meat row 18: 0.21</t>
        </is>
      </c>
    </row>
    <row r="63">
      <c r="A63" t="inlineStr">
        <is>
          <t>OK scan margin meat row 19: 0.12</t>
        </is>
      </c>
    </row>
    <row r="64">
      <c r="A64" t="inlineStr">
        <is>
          <t>OK scan margin meat row 20: 0.16</t>
        </is>
      </c>
    </row>
    <row r="65">
      <c r="A65" t="inlineStr">
        <is>
          <t>OK scan margin meat row 21: 0.19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Authorised</dc:creator>
  <dcterms:created xsi:type="dcterms:W3CDTF">2007-10-03T18:12:54Z</dcterms:created>
  <dcterms:modified xsi:type="dcterms:W3CDTF">2026-05-19T11:37:57Z</dcterms:modified>
  <cp:lastModifiedBy>424SKERRIESAD Admin</cp:lastModifiedBy>
  <cp:lastPrinted>2018-11-01T09:39:59Z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0x010100A0BBBD93967A6540B09C066FA8927728</vt:lpwstr>
  </property>
</Properties>
</file>