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16.01.24" sheetId="1" state="visible" r:id="rId1"/>
    <sheet name="TEMPLATE" sheetId="2" state="visible" r:id="rId2"/>
    <sheet name="we 20.6.26" sheetId="3" state="visible" r:id="rId3"/>
    <sheet name="Log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&quot;€&quot;#,##0.00"/>
    <numFmt numFmtId="165" formatCode="&quot;€&quot;#,##0.00;[Red]\-&quot;€&quot;#,##0.00"/>
    <numFmt numFmtId="166" formatCode="[$-11809]0.00;\(0.00\)"/>
    <numFmt numFmtId="167" formatCode="&quot;€&quot;#,##0;[Red]\-&quot;€&quot;#,##0"/>
    <numFmt numFmtId="168" formatCode="_-* #,##0_-;\-* #,##0_-;_-* &quot;-&quot;??_-;_-@_-"/>
    <numFmt numFmtId="169" formatCode="0_ ;[Red]\-0\ "/>
  </numFmts>
  <fonts count="13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sz val="14"/>
    </font>
    <font>
      <name val="Arial"/>
      <family val="2"/>
      <sz val="18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11"/>
      <u val="single"/>
    </font>
    <font>
      <name val="Arial"/>
      <family val="2"/>
      <b val="1"/>
      <sz val="11"/>
    </font>
    <font>
      <name val="Arial"/>
      <family val="2"/>
      <color indexed="8"/>
      <sz val="11"/>
    </font>
    <font>
      <name val="Verdana"/>
      <family val="2"/>
      <color indexed="8"/>
      <sz val="1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00B0F0"/>
        <bgColor indexed="64"/>
      </patternFill>
    </fill>
  </fills>
  <borders count="5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5" fillId="0" borderId="0"/>
    <xf numFmtId="44" fontId="5" fillId="0" borderId="0"/>
    <xf numFmtId="9" fontId="5" fillId="0" borderId="0"/>
    <xf numFmtId="0" fontId="1" fillId="0" borderId="0"/>
  </cellStyleXfs>
  <cellXfs count="216">
    <xf numFmtId="0" fontId="0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horizontal="center"/>
    </xf>
    <xf numFmtId="0" fontId="7" fillId="0" borderId="0" pivotButton="0" quotePrefix="0" xfId="0"/>
    <xf numFmtId="0" fontId="8" fillId="0" borderId="1" pivotButton="0" quotePrefix="0" xfId="0"/>
    <xf numFmtId="0" fontId="8" fillId="0" borderId="0" pivotButton="0" quotePrefix="0" xfId="0"/>
    <xf numFmtId="0" fontId="6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/>
    </xf>
    <xf numFmtId="0" fontId="8" fillId="0" borderId="1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164" fontId="6" fillId="3" borderId="2" applyAlignment="1" pivotButton="0" quotePrefix="0" xfId="0">
      <alignment horizontal="center"/>
    </xf>
    <xf numFmtId="0" fontId="6" fillId="0" borderId="2" pivotButton="0" quotePrefix="0" xfId="0"/>
    <xf numFmtId="0" fontId="6" fillId="0" borderId="15" pivotButton="0" quotePrefix="0" xfId="0"/>
    <xf numFmtId="0" fontId="8" fillId="0" borderId="12" pivotButton="0" quotePrefix="0" xfId="0"/>
    <xf numFmtId="0" fontId="8" fillId="0" borderId="14" pivotButton="0" quotePrefix="0" xfId="0"/>
    <xf numFmtId="0" fontId="8" fillId="0" borderId="2" pivotButton="0" quotePrefix="0" xfId="0"/>
    <xf numFmtId="0" fontId="8" fillId="0" borderId="23" pivotButton="0" quotePrefix="0" xfId="0"/>
    <xf numFmtId="0" fontId="8" fillId="0" borderId="16" pivotButton="0" quotePrefix="0" xfId="0"/>
    <xf numFmtId="0" fontId="6" fillId="0" borderId="24" pivotButton="0" quotePrefix="0" xfId="0"/>
    <xf numFmtId="0" fontId="6" fillId="0" borderId="0" applyAlignment="1" pivotButton="0" quotePrefix="0" xfId="0">
      <alignment horizontal="center"/>
    </xf>
    <xf numFmtId="164" fontId="6" fillId="3" borderId="0" applyAlignment="1" pivotButton="0" quotePrefix="0" xfId="2">
      <alignment horizontal="center"/>
    </xf>
    <xf numFmtId="0" fontId="9" fillId="0" borderId="22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164" fontId="6" fillId="0" borderId="30" applyAlignment="1" pivotButton="0" quotePrefix="0" xfId="0">
      <alignment horizontal="center"/>
    </xf>
    <xf numFmtId="0" fontId="8" fillId="0" borderId="24" pivotButton="0" quotePrefix="0" xfId="0"/>
    <xf numFmtId="164" fontId="8" fillId="0" borderId="0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165" fontId="6" fillId="0" borderId="2" applyAlignment="1" pivotButton="0" quotePrefix="0" xfId="0">
      <alignment horizontal="center"/>
    </xf>
    <xf numFmtId="10" fontId="6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166" fontId="10" fillId="0" borderId="0" applyAlignment="1" applyProtection="1" pivotButton="0" quotePrefix="0" xfId="0">
      <alignment horizontal="center" vertical="top" wrapText="1" readingOrder="1"/>
      <protection locked="0" hidden="0"/>
    </xf>
    <xf numFmtId="0" fontId="4" fillId="0" borderId="0" applyAlignment="1" applyProtection="1" pivotButton="0" quotePrefix="0" xfId="0">
      <alignment horizontal="center" vertical="top" wrapText="1"/>
      <protection locked="0" hidden="0"/>
    </xf>
    <xf numFmtId="164" fontId="6" fillId="2" borderId="2" pivotButton="0" quotePrefix="0" xfId="1"/>
    <xf numFmtId="164" fontId="6" fillId="2" borderId="16" pivotButton="0" quotePrefix="0" xfId="1"/>
    <xf numFmtId="164" fontId="9" fillId="2" borderId="25" pivotButton="0" quotePrefix="0" xfId="4"/>
    <xf numFmtId="164" fontId="9" fillId="2" borderId="2" pivotButton="0" quotePrefix="0" xfId="4"/>
    <xf numFmtId="167" fontId="6" fillId="2" borderId="30" applyAlignment="1" pivotButton="0" quotePrefix="0" xfId="3">
      <alignment horizontal="center"/>
    </xf>
    <xf numFmtId="10" fontId="6" fillId="2" borderId="30" applyAlignment="1" pivotButton="0" quotePrefix="0" xfId="3">
      <alignment horizontal="center"/>
    </xf>
    <xf numFmtId="10" fontId="6" fillId="2" borderId="2" applyAlignment="1" pivotButton="0" quotePrefix="0" xfId="0">
      <alignment horizontal="center"/>
    </xf>
    <xf numFmtId="10" fontId="6" fillId="3" borderId="2" applyAlignment="1" pivotButton="0" quotePrefix="0" xfId="0">
      <alignment horizontal="center"/>
    </xf>
    <xf numFmtId="165" fontId="6" fillId="3" borderId="2" applyAlignment="1" pivotButton="0" quotePrefix="0" xfId="0">
      <alignment horizontal="center"/>
    </xf>
    <xf numFmtId="10" fontId="6" fillId="0" borderId="2" applyAlignment="1" pivotButton="0" quotePrefix="0" xfId="0">
      <alignment horizontal="center"/>
    </xf>
    <xf numFmtId="164" fontId="6" fillId="2" borderId="25" applyAlignment="1" pivotButton="0" quotePrefix="0" xfId="0">
      <alignment horizontal="center"/>
    </xf>
    <xf numFmtId="164" fontId="6" fillId="2" borderId="2" applyAlignment="1" pivotButton="0" quotePrefix="0" xfId="0">
      <alignment horizontal="center"/>
    </xf>
    <xf numFmtId="164" fontId="6" fillId="2" borderId="16" applyAlignment="1" pivotButton="0" quotePrefix="0" xfId="0">
      <alignment horizontal="center"/>
    </xf>
    <xf numFmtId="0" fontId="2" fillId="2" borderId="25" applyAlignment="1" pivotButton="0" quotePrefix="0" xfId="0">
      <alignment horizontal="center"/>
    </xf>
    <xf numFmtId="0" fontId="9" fillId="2" borderId="2" applyAlignment="1" pivotButton="0" quotePrefix="0" xfId="0">
      <alignment horizontal="center"/>
    </xf>
    <xf numFmtId="0" fontId="9" fillId="2" borderId="16" applyAlignment="1" pivotButton="0" quotePrefix="0" xfId="0">
      <alignment horizontal="center"/>
    </xf>
    <xf numFmtId="168" fontId="6" fillId="2" borderId="25" pivotButton="0" quotePrefix="0" xfId="1"/>
    <xf numFmtId="164" fontId="6" fillId="2" borderId="2" pivotButton="0" quotePrefix="0" xfId="0"/>
    <xf numFmtId="0" fontId="6" fillId="2" borderId="2" applyAlignment="1" pivotButton="0" quotePrefix="0" xfId="0">
      <alignment horizontal="center"/>
    </xf>
    <xf numFmtId="165" fontId="9" fillId="0" borderId="22" applyAlignment="1" pivotButton="0" quotePrefix="0" xfId="0">
      <alignment horizontal="center"/>
    </xf>
    <xf numFmtId="165" fontId="6" fillId="2" borderId="2" applyAlignment="1" pivotButton="0" quotePrefix="0" xfId="0">
      <alignment horizontal="center"/>
    </xf>
    <xf numFmtId="165" fontId="6" fillId="0" borderId="0" applyAlignment="1" pivotButton="0" quotePrefix="0" xfId="0">
      <alignment horizontal="center"/>
    </xf>
    <xf numFmtId="0" fontId="8" fillId="0" borderId="22" pivotButton="0" quotePrefix="0" xfId="0"/>
    <xf numFmtId="0" fontId="8" fillId="0" borderId="22" applyAlignment="1" pivotButton="0" quotePrefix="0" xfId="0">
      <alignment horizontal="center"/>
    </xf>
    <xf numFmtId="0" fontId="8" fillId="0" borderId="22" applyAlignment="1" pivotButton="0" quotePrefix="0" xfId="0">
      <alignment horizontal="center" wrapText="1"/>
    </xf>
    <xf numFmtId="0" fontId="8" fillId="0" borderId="35" applyAlignment="1" pivotButton="0" quotePrefix="0" xfId="0">
      <alignment horizontal="center"/>
    </xf>
    <xf numFmtId="167" fontId="6" fillId="2" borderId="33" applyAlignment="1" pivotButton="0" quotePrefix="0" xfId="0">
      <alignment horizontal="center"/>
    </xf>
    <xf numFmtId="164" fontId="9" fillId="2" borderId="25" applyAlignment="1" pivotButton="0" quotePrefix="0" xfId="4">
      <alignment horizontal="center"/>
    </xf>
    <xf numFmtId="164" fontId="6" fillId="0" borderId="25" applyAlignment="1" pivotButton="0" quotePrefix="0" xfId="0">
      <alignment horizontal="center"/>
    </xf>
    <xf numFmtId="164" fontId="6" fillId="0" borderId="32" applyAlignment="1" pivotButton="0" quotePrefix="0" xfId="0">
      <alignment horizontal="center"/>
    </xf>
    <xf numFmtId="10" fontId="6" fillId="3" borderId="32" applyAlignment="1" pivotButton="0" quotePrefix="0" xfId="0">
      <alignment horizontal="center"/>
    </xf>
    <xf numFmtId="164" fontId="6" fillId="2" borderId="2" applyAlignment="1" pivotButton="0" quotePrefix="0" xfId="1">
      <alignment horizontal="center"/>
    </xf>
    <xf numFmtId="164" fontId="6" fillId="2" borderId="16" applyAlignment="1" pivotButton="0" quotePrefix="0" xfId="1">
      <alignment horizontal="center"/>
    </xf>
    <xf numFmtId="164" fontId="6" fillId="3" borderId="18" applyAlignment="1" pivotButton="0" quotePrefix="0" xfId="0">
      <alignment horizontal="center"/>
    </xf>
    <xf numFmtId="43" fontId="6" fillId="0" borderId="0" applyAlignment="1" pivotButton="0" quotePrefix="0" xfId="1">
      <alignment horizontal="center"/>
    </xf>
    <xf numFmtId="0" fontId="6" fillId="0" borderId="2" applyAlignment="1" pivotButton="0" quotePrefix="1" xfId="0">
      <alignment horizontal="center"/>
    </xf>
    <xf numFmtId="0" fontId="6" fillId="3" borderId="0" applyAlignment="1" pivotButton="0" quotePrefix="0" xfId="0">
      <alignment horizontal="center"/>
    </xf>
    <xf numFmtId="165" fontId="8" fillId="3" borderId="2" applyAlignment="1" pivotButton="0" quotePrefix="0" xfId="0">
      <alignment horizontal="center"/>
    </xf>
    <xf numFmtId="165" fontId="10" fillId="4" borderId="0" applyAlignment="1" applyProtection="1" pivotButton="0" quotePrefix="0" xfId="0">
      <alignment horizontal="center" vertical="top" wrapText="1" readingOrder="1"/>
      <protection locked="0" hidden="0"/>
    </xf>
    <xf numFmtId="10" fontId="4" fillId="4" borderId="0" applyAlignment="1" applyProtection="1" pivotButton="0" quotePrefix="0" xfId="0">
      <alignment horizontal="center" vertical="top" wrapText="1"/>
      <protection locked="0" hidden="0"/>
    </xf>
    <xf numFmtId="165" fontId="8" fillId="4" borderId="2" applyAlignment="1" pivotButton="0" quotePrefix="0" xfId="0">
      <alignment horizontal="center"/>
    </xf>
    <xf numFmtId="164" fontId="8" fillId="4" borderId="2" applyAlignment="1" pivotButton="0" quotePrefix="0" xfId="0">
      <alignment horizontal="center"/>
    </xf>
    <xf numFmtId="165" fontId="8" fillId="4" borderId="36" applyAlignment="1" pivotButton="0" quotePrefix="0" xfId="0">
      <alignment horizontal="center"/>
    </xf>
    <xf numFmtId="0" fontId="8" fillId="4" borderId="36" applyAlignment="1" pivotButton="0" quotePrefix="0" xfId="0">
      <alignment horizontal="center"/>
    </xf>
    <xf numFmtId="169" fontId="6" fillId="0" borderId="22" applyAlignment="1" pivotButton="0" quotePrefix="0" xfId="0">
      <alignment horizontal="center"/>
    </xf>
    <xf numFmtId="0" fontId="8" fillId="0" borderId="18" pivotButton="0" quotePrefix="0" xfId="0"/>
    <xf numFmtId="0" fontId="8" fillId="0" borderId="19" pivotButton="0" quotePrefix="0" xfId="0"/>
    <xf numFmtId="164" fontId="8" fillId="0" borderId="19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8" fillId="0" borderId="4" applyAlignment="1" pivotButton="0" quotePrefix="0" xfId="0">
      <alignment horizontal="center"/>
    </xf>
    <xf numFmtId="0" fontId="8" fillId="0" borderId="28" applyAlignment="1" pivotButton="0" quotePrefix="0" xfId="0">
      <alignment horizontal="center"/>
    </xf>
    <xf numFmtId="164" fontId="8" fillId="0" borderId="2" applyAlignment="1" pivotButton="0" quotePrefix="0" xfId="0">
      <alignment horizontal="center"/>
    </xf>
    <xf numFmtId="0" fontId="8" fillId="0" borderId="23" applyAlignment="1" pivotButton="0" quotePrefix="0" xfId="0">
      <alignment horizontal="center"/>
    </xf>
    <xf numFmtId="164" fontId="8" fillId="0" borderId="16" applyAlignment="1" pivotButton="0" quotePrefix="0" xfId="0">
      <alignment horizontal="center"/>
    </xf>
    <xf numFmtId="0" fontId="8" fillId="0" borderId="14" applyAlignment="1" pivotButton="0" quotePrefix="0" xfId="0">
      <alignment horizontal="center"/>
    </xf>
    <xf numFmtId="164" fontId="8" fillId="0" borderId="15" applyAlignment="1" pivotButton="0" quotePrefix="0" xfId="0">
      <alignment horizontal="center"/>
    </xf>
    <xf numFmtId="165" fontId="8" fillId="2" borderId="2" applyAlignment="1" pivotButton="0" quotePrefix="0" xfId="0">
      <alignment horizontal="center"/>
    </xf>
    <xf numFmtId="165" fontId="8" fillId="2" borderId="16" applyAlignment="1" pivotButton="0" quotePrefix="0" xfId="0">
      <alignment horizontal="center"/>
    </xf>
    <xf numFmtId="165" fontId="8" fillId="2" borderId="15" applyAlignment="1" pivotButton="0" quotePrefix="0" xfId="0">
      <alignment horizontal="center"/>
    </xf>
    <xf numFmtId="165" fontId="8" fillId="0" borderId="2" applyAlignment="1" pivotButton="0" quotePrefix="0" xfId="0">
      <alignment horizontal="center"/>
    </xf>
    <xf numFmtId="164" fontId="9" fillId="0" borderId="25" applyAlignment="1" pivotButton="0" quotePrefix="0" xfId="4">
      <alignment horizontal="center"/>
    </xf>
    <xf numFmtId="164" fontId="6" fillId="0" borderId="25" applyAlignment="1" pivotButton="0" quotePrefix="0" xfId="1">
      <alignment horizontal="center"/>
    </xf>
    <xf numFmtId="167" fontId="6" fillId="2" borderId="31" applyAlignment="1" pivotButton="0" quotePrefix="0" xfId="0">
      <alignment horizontal="center"/>
    </xf>
    <xf numFmtId="0" fontId="6" fillId="2" borderId="2" pivotButton="0" quotePrefix="0" xfId="0"/>
    <xf numFmtId="0" fontId="6" fillId="0" borderId="16" applyAlignment="1" pivotButton="0" quotePrefix="0" xfId="0">
      <alignment horizontal="center"/>
    </xf>
    <xf numFmtId="0" fontId="8" fillId="0" borderId="19" applyAlignment="1" pivotButton="0" quotePrefix="0" xfId="0">
      <alignment horizontal="center"/>
    </xf>
    <xf numFmtId="0" fontId="6" fillId="0" borderId="25" applyAlignment="1" pivotButton="0" quotePrefix="0" xfId="0">
      <alignment horizontal="center"/>
    </xf>
    <xf numFmtId="164" fontId="8" fillId="0" borderId="20" applyAlignment="1" pivotButton="0" quotePrefix="0" xfId="0">
      <alignment horizontal="center"/>
    </xf>
    <xf numFmtId="164" fontId="6" fillId="2" borderId="26" applyAlignment="1" pivotButton="0" quotePrefix="0" xfId="0">
      <alignment horizontal="center"/>
    </xf>
    <xf numFmtId="164" fontId="6" fillId="2" borderId="13" applyAlignment="1" pivotButton="0" quotePrefix="0" xfId="0">
      <alignment horizontal="center"/>
    </xf>
    <xf numFmtId="164" fontId="6" fillId="2" borderId="17" applyAlignment="1" pivotButton="0" quotePrefix="0" xfId="0">
      <alignment horizontal="center"/>
    </xf>
    <xf numFmtId="165" fontId="9" fillId="0" borderId="7" applyAlignment="1" pivotButton="0" quotePrefix="0" xfId="0">
      <alignment horizontal="center"/>
    </xf>
    <xf numFmtId="164" fontId="6" fillId="0" borderId="2" applyAlignment="1" pivotButton="0" quotePrefix="0" xfId="0">
      <alignment horizontal="center"/>
    </xf>
    <xf numFmtId="164" fontId="6" fillId="0" borderId="2" applyAlignment="1" pivotButton="0" quotePrefix="0" xfId="1">
      <alignment horizontal="center"/>
    </xf>
    <xf numFmtId="164" fontId="6" fillId="3" borderId="16" applyAlignment="1" pivotButton="0" quotePrefix="0" xfId="1">
      <alignment horizontal="center"/>
    </xf>
    <xf numFmtId="164" fontId="9" fillId="0" borderId="2" applyAlignment="1" pivotButton="0" quotePrefix="0" xfId="4">
      <alignment horizontal="center"/>
    </xf>
    <xf numFmtId="0" fontId="8" fillId="0" borderId="12" applyAlignment="1" pivotButton="0" quotePrefix="0" xfId="0">
      <alignment horizontal="center"/>
    </xf>
    <xf numFmtId="0" fontId="8" fillId="0" borderId="3" applyAlignment="1" pivotButton="0" quotePrefix="0" xfId="0">
      <alignment horizontal="center"/>
    </xf>
    <xf numFmtId="0" fontId="3" fillId="2" borderId="5" applyAlignment="1" pivotButton="0" quotePrefix="0" xfId="0">
      <alignment horizontal="left"/>
    </xf>
    <xf numFmtId="0" fontId="3" fillId="2" borderId="6" applyAlignment="1" pivotButton="0" quotePrefix="0" xfId="0">
      <alignment horizontal="left"/>
    </xf>
    <xf numFmtId="0" fontId="3" fillId="2" borderId="7" applyAlignment="1" pivotButton="0" quotePrefix="0" xfId="0">
      <alignment horizontal="left"/>
    </xf>
    <xf numFmtId="0" fontId="8" fillId="0" borderId="18" applyAlignment="1" pivotButton="0" quotePrefix="0" xfId="0">
      <alignment horizontal="center"/>
    </xf>
    <xf numFmtId="0" fontId="8" fillId="0" borderId="19" applyAlignment="1" pivotButton="0" quotePrefix="0" xfId="0">
      <alignment horizontal="center"/>
    </xf>
    <xf numFmtId="0" fontId="8" fillId="0" borderId="34" applyAlignment="1" pivotButton="0" quotePrefix="0" xfId="0">
      <alignment horizontal="center"/>
    </xf>
    <xf numFmtId="0" fontId="8" fillId="0" borderId="20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6" fillId="0" borderId="11" applyAlignment="1" pivotButton="0" quotePrefix="0" xfId="0">
      <alignment horizontal="center"/>
    </xf>
    <xf numFmtId="0" fontId="8" fillId="0" borderId="24" applyAlignment="1" pivotButton="0" quotePrefix="0" xfId="0">
      <alignment horizontal="center"/>
    </xf>
    <xf numFmtId="0" fontId="8" fillId="0" borderId="3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6" fillId="0" borderId="4" applyAlignment="1" pivotButton="0" quotePrefix="0" xfId="0">
      <alignment horizontal="center"/>
    </xf>
    <xf numFmtId="0" fontId="6" fillId="0" borderId="2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6" fillId="2" borderId="11" applyAlignment="1" pivotButton="0" quotePrefix="0" xfId="0">
      <alignment horizontal="center"/>
    </xf>
    <xf numFmtId="14" fontId="6" fillId="2" borderId="1" applyAlignment="1" pivotButton="0" quotePrefix="0" xfId="0">
      <alignment horizontal="center"/>
    </xf>
    <xf numFmtId="14" fontId="6" fillId="2" borderId="11" applyAlignment="1" pivotButton="0" quotePrefix="0" xfId="0">
      <alignment horizontal="center"/>
    </xf>
    <xf numFmtId="0" fontId="8" fillId="0" borderId="14" applyAlignment="1" pivotButton="0" quotePrefix="0" xfId="0">
      <alignment horizontal="center"/>
    </xf>
    <xf numFmtId="0" fontId="8" fillId="0" borderId="27" applyAlignment="1" pivotButton="0" quotePrefix="0" xfId="0">
      <alignment horizontal="center"/>
    </xf>
    <xf numFmtId="0" fontId="8" fillId="0" borderId="8" applyAlignment="1" pivotButton="0" quotePrefix="0" xfId="0">
      <alignment horizontal="center"/>
    </xf>
    <xf numFmtId="0" fontId="8" fillId="0" borderId="9" applyAlignment="1" pivotButton="0" quotePrefix="0" xfId="0">
      <alignment horizontal="center"/>
    </xf>
    <xf numFmtId="0" fontId="8" fillId="0" borderId="10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6" applyAlignment="1" pivotButton="0" quotePrefix="0" xfId="0">
      <alignment horizontal="center"/>
    </xf>
    <xf numFmtId="0" fontId="8" fillId="0" borderId="7" applyAlignment="1" pivotButton="0" quotePrefix="0" xfId="0">
      <alignment horizontal="center"/>
    </xf>
    <xf numFmtId="0" fontId="6" fillId="0" borderId="32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165" fontId="6" fillId="0" borderId="0" applyAlignment="1" pivotButton="0" quotePrefix="0" xfId="0">
      <alignment horizontal="center"/>
    </xf>
    <xf numFmtId="0" fontId="6" fillId="0" borderId="27" applyAlignment="1" pivotButton="0" quotePrefix="0" xfId="0">
      <alignment horizontal="center"/>
    </xf>
    <xf numFmtId="0" fontId="6" fillId="0" borderId="28" applyAlignment="1" pivotButton="0" quotePrefix="0" xfId="0">
      <alignment horizontal="center"/>
    </xf>
    <xf numFmtId="0" fontId="6" fillId="0" borderId="29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3" fillId="2" borderId="22" applyAlignment="1" pivotButton="0" quotePrefix="0" xfId="0">
      <alignment horizontal="left"/>
    </xf>
    <xf numFmtId="0" fontId="0" fillId="0" borderId="6" pivotButton="0" quotePrefix="0" xfId="0"/>
    <xf numFmtId="0" fontId="0" fillId="0" borderId="7" pivotButton="0" quotePrefix="0" xfId="0"/>
    <xf numFmtId="0" fontId="0" fillId="0" borderId="48" pivotButton="0" quotePrefix="0" xfId="0"/>
    <xf numFmtId="0" fontId="0" fillId="0" borderId="11" pivotButton="0" quotePrefix="0" xfId="0"/>
    <xf numFmtId="0" fontId="0" fillId="0" borderId="51" pivotButton="0" quotePrefix="0" xfId="0"/>
    <xf numFmtId="167" fontId="6" fillId="2" borderId="33" applyAlignment="1" pivotButton="0" quotePrefix="0" xfId="0">
      <alignment horizontal="center"/>
    </xf>
    <xf numFmtId="0" fontId="0" fillId="0" borderId="42" pivotButton="0" quotePrefix="0" xfId="0"/>
    <xf numFmtId="164" fontId="6" fillId="0" borderId="30" applyAlignment="1" pivotButton="0" quotePrefix="0" xfId="0">
      <alignment horizontal="center"/>
    </xf>
    <xf numFmtId="167" fontId="6" fillId="2" borderId="30" applyAlignment="1" pivotButton="0" quotePrefix="0" xfId="3">
      <alignment horizontal="center"/>
    </xf>
    <xf numFmtId="0" fontId="0" fillId="0" borderId="43" pivotButton="0" quotePrefix="0" xfId="0"/>
    <xf numFmtId="167" fontId="6" fillId="2" borderId="31" applyAlignment="1" pivotButton="0" quotePrefix="0" xfId="0">
      <alignment horizontal="center"/>
    </xf>
    <xf numFmtId="164" fontId="9" fillId="2" borderId="25" pivotButton="0" quotePrefix="0" xfId="4"/>
    <xf numFmtId="164" fontId="6" fillId="0" borderId="25" applyAlignment="1" pivotButton="0" quotePrefix="0" xfId="0">
      <alignment horizontal="center"/>
    </xf>
    <xf numFmtId="164" fontId="6" fillId="2" borderId="25" applyAlignment="1" pivotButton="0" quotePrefix="0" xfId="0">
      <alignment horizontal="center"/>
    </xf>
    <xf numFmtId="164" fontId="9" fillId="2" borderId="25" applyAlignment="1" pivotButton="0" quotePrefix="0" xfId="4">
      <alignment horizontal="center"/>
    </xf>
    <xf numFmtId="164" fontId="9" fillId="0" borderId="25" applyAlignment="1" pivotButton="0" quotePrefix="0" xfId="4">
      <alignment horizontal="center"/>
    </xf>
    <xf numFmtId="164" fontId="6" fillId="0" borderId="32" applyAlignment="1" pivotButton="0" quotePrefix="0" xfId="0">
      <alignment horizontal="center"/>
    </xf>
    <xf numFmtId="165" fontId="6" fillId="0" borderId="2" applyAlignment="1" pivotButton="0" quotePrefix="0" xfId="0">
      <alignment horizontal="center"/>
    </xf>
    <xf numFmtId="165" fontId="6" fillId="3" borderId="2" applyAlignment="1" pivotButton="0" quotePrefix="0" xfId="0">
      <alignment horizontal="center"/>
    </xf>
    <xf numFmtId="164" fontId="6" fillId="3" borderId="2" applyAlignment="1" pivotButton="0" quotePrefix="0" xfId="0">
      <alignment horizontal="center"/>
    </xf>
    <xf numFmtId="164" fontId="9" fillId="2" borderId="2" pivotButton="0" quotePrefix="0" xfId="4"/>
    <xf numFmtId="164" fontId="6" fillId="0" borderId="2" applyAlignment="1" pivotButton="0" quotePrefix="0" xfId="0">
      <alignment horizontal="center"/>
    </xf>
    <xf numFmtId="164" fontId="6" fillId="2" borderId="2" applyAlignment="1" pivotButton="0" quotePrefix="0" xfId="0">
      <alignment horizontal="center"/>
    </xf>
    <xf numFmtId="164" fontId="6" fillId="2" borderId="2" applyAlignment="1" pivotButton="0" quotePrefix="0" xfId="1">
      <alignment horizontal="center"/>
    </xf>
    <xf numFmtId="164" fontId="6" fillId="0" borderId="25" applyAlignment="1" pivotButton="0" quotePrefix="0" xfId="1">
      <alignment horizontal="center"/>
    </xf>
    <xf numFmtId="164" fontId="9" fillId="0" borderId="2" applyAlignment="1" pivotButton="0" quotePrefix="0" xfId="4">
      <alignment horizontal="center"/>
    </xf>
    <xf numFmtId="164" fontId="6" fillId="2" borderId="2" pivotButton="0" quotePrefix="0" xfId="1"/>
    <xf numFmtId="164" fontId="6" fillId="0" borderId="2" applyAlignment="1" pivotButton="0" quotePrefix="0" xfId="1">
      <alignment horizontal="center"/>
    </xf>
    <xf numFmtId="164" fontId="6" fillId="2" borderId="16" pivotButton="0" quotePrefix="0" xfId="1"/>
    <xf numFmtId="164" fontId="6" fillId="3" borderId="16" applyAlignment="1" pivotButton="0" quotePrefix="0" xfId="1">
      <alignment horizontal="center"/>
    </xf>
    <xf numFmtId="164" fontId="6" fillId="2" borderId="16" applyAlignment="1" pivotButton="0" quotePrefix="0" xfId="1">
      <alignment horizontal="center"/>
    </xf>
    <xf numFmtId="164" fontId="6" fillId="3" borderId="18" applyAlignment="1" pivotButton="0" quotePrefix="0" xfId="0">
      <alignment horizontal="center"/>
    </xf>
    <xf numFmtId="165" fontId="8" fillId="4" borderId="2" applyAlignment="1" pivotButton="0" quotePrefix="0" xfId="0">
      <alignment horizontal="center"/>
    </xf>
    <xf numFmtId="165" fontId="8" fillId="3" borderId="2" applyAlignment="1" pivotButton="0" quotePrefix="0" xfId="0">
      <alignment horizontal="center"/>
    </xf>
    <xf numFmtId="164" fontId="8" fillId="4" borderId="2" applyAlignment="1" pivotButton="0" quotePrefix="0" xfId="0">
      <alignment horizontal="center"/>
    </xf>
    <xf numFmtId="0" fontId="0" fillId="0" borderId="46" pivotButton="0" quotePrefix="0" xfId="0"/>
    <xf numFmtId="0" fontId="0" fillId="0" borderId="47" pivotButton="0" quotePrefix="0" xfId="0"/>
    <xf numFmtId="43" fontId="6" fillId="0" borderId="0" applyAlignment="1" pivotButton="0" quotePrefix="0" xfId="1">
      <alignment horizontal="center"/>
    </xf>
    <xf numFmtId="164" fontId="8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165" fontId="10" fillId="4" borderId="0" applyAlignment="1" applyProtection="1" pivotButton="0" quotePrefix="0" xfId="0">
      <alignment horizontal="center" vertical="top" wrapText="1" readingOrder="1"/>
      <protection locked="0" hidden="0"/>
    </xf>
    <xf numFmtId="165" fontId="8" fillId="2" borderId="2" applyAlignment="1" pivotButton="0" quotePrefix="0" xfId="0">
      <alignment horizontal="center"/>
    </xf>
    <xf numFmtId="164" fontId="8" fillId="0" borderId="2" applyAlignment="1" pivotButton="0" quotePrefix="0" xfId="0">
      <alignment horizontal="center"/>
    </xf>
    <xf numFmtId="165" fontId="8" fillId="0" borderId="2" applyAlignment="1" pivotButton="0" quotePrefix="0" xfId="0">
      <alignment horizontal="center"/>
    </xf>
    <xf numFmtId="165" fontId="6" fillId="2" borderId="2" applyAlignment="1" pivotButton="0" quotePrefix="0" xfId="0">
      <alignment horizontal="center"/>
    </xf>
    <xf numFmtId="165" fontId="8" fillId="2" borderId="16" applyAlignment="1" pivotButton="0" quotePrefix="0" xfId="0">
      <alignment horizontal="center"/>
    </xf>
    <xf numFmtId="164" fontId="8" fillId="0" borderId="16" applyAlignment="1" pivotButton="0" quotePrefix="0" xfId="0">
      <alignment horizontal="center"/>
    </xf>
    <xf numFmtId="165" fontId="8" fillId="2" borderId="15" applyAlignment="1" pivotButton="0" quotePrefix="0" xfId="0">
      <alignment horizontal="center"/>
    </xf>
    <xf numFmtId="164" fontId="8" fillId="0" borderId="15" applyAlignment="1" pivotButton="0" quotePrefix="0" xfId="0">
      <alignment horizontal="center"/>
    </xf>
    <xf numFmtId="164" fontId="8" fillId="0" borderId="19" applyAlignment="1" pivotButton="0" quotePrefix="0" xfId="0">
      <alignment horizontal="center"/>
    </xf>
    <xf numFmtId="164" fontId="8" fillId="0" borderId="20" applyAlignment="1" pivotButton="0" quotePrefix="0" xfId="0">
      <alignment horizontal="center"/>
    </xf>
    <xf numFmtId="164" fontId="6" fillId="2" borderId="26" applyAlignment="1" pivotButton="0" quotePrefix="0" xfId="0">
      <alignment horizontal="center"/>
    </xf>
    <xf numFmtId="164" fontId="6" fillId="2" borderId="13" applyAlignment="1" pivotButton="0" quotePrefix="0" xfId="0">
      <alignment horizontal="center"/>
    </xf>
    <xf numFmtId="164" fontId="6" fillId="2" borderId="16" applyAlignment="1" pivotButton="0" quotePrefix="0" xfId="0">
      <alignment horizontal="center"/>
    </xf>
    <xf numFmtId="164" fontId="6" fillId="2" borderId="17" applyAlignment="1" pivotButton="0" quotePrefix="0" xfId="0">
      <alignment horizontal="center"/>
    </xf>
    <xf numFmtId="169" fontId="6" fillId="0" borderId="22" applyAlignment="1" pivotButton="0" quotePrefix="0" xfId="0">
      <alignment horizontal="center"/>
    </xf>
    <xf numFmtId="165" fontId="9" fillId="0" borderId="22" applyAlignment="1" pivotButton="0" quotePrefix="0" xfId="0">
      <alignment horizontal="center"/>
    </xf>
    <xf numFmtId="165" fontId="9" fillId="0" borderId="7" applyAlignment="1" pivotButton="0" quotePrefix="0" xfId="0">
      <alignment horizontal="center"/>
    </xf>
    <xf numFmtId="164" fontId="6" fillId="3" borderId="0" applyAlignment="1" pivotButton="0" quotePrefix="0" xfId="2">
      <alignment horizontal="center"/>
    </xf>
    <xf numFmtId="168" fontId="6" fillId="2" borderId="25" pivotButton="0" quotePrefix="0" xfId="1"/>
    <xf numFmtId="0" fontId="6" fillId="0" borderId="26" applyAlignment="1" pivotButton="0" quotePrefix="0" xfId="0">
      <alignment horizontal="center"/>
    </xf>
    <xf numFmtId="0" fontId="0" fillId="0" borderId="1" pivotButton="0" quotePrefix="0" xfId="0"/>
    <xf numFmtId="165" fontId="6" fillId="0" borderId="0" applyAlignment="1" pivotButton="0" quotePrefix="0" xfId="0">
      <alignment horizontal="center"/>
    </xf>
    <xf numFmtId="164" fontId="6" fillId="2" borderId="2" pivotButton="0" quotePrefix="0" xfId="0"/>
    <xf numFmtId="0" fontId="6" fillId="0" borderId="13" applyAlignment="1" pivotButton="0" quotePrefix="0" xfId="0">
      <alignment horizontal="center"/>
    </xf>
    <xf numFmtId="0" fontId="0" fillId="0" borderId="4" pivotButton="0" quotePrefix="0" xfId="0"/>
    <xf numFmtId="0" fontId="0" fillId="0" borderId="21" pivotButton="0" quotePrefix="0" xfId="0"/>
    <xf numFmtId="165" fontId="8" fillId="4" borderId="36" applyAlignment="1" pivotButton="0" quotePrefix="0" xfId="0">
      <alignment horizontal="center"/>
    </xf>
    <xf numFmtId="0" fontId="6" fillId="0" borderId="37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</cellXfs>
  <cellStyles count="5">
    <cellStyle name="Normal" xfId="0" builtinId="0"/>
    <cellStyle name="Comma" xfId="1" builtinId="3"/>
    <cellStyle name="Currency" xfId="2" builtinId="4"/>
    <cellStyle name="Percent" xfId="3" builtinId="5"/>
    <cellStyle name="Normal 2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comments/comment2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comments/comment3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workbookViewId="0">
      <selection activeCell="C16" sqref="C16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/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/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/>
    </row>
    <row r="7" ht="15" customHeight="1">
      <c r="A7" s="4" t="inlineStr">
        <is>
          <t>Prepared By:</t>
        </is>
      </c>
      <c r="B7" s="126" t="inlineStr">
        <is>
          <t> </t>
        </is>
      </c>
      <c r="C7" s="148" t="n"/>
      <c r="D7" s="109" t="inlineStr">
        <is>
          <t>Waste</t>
        </is>
      </c>
      <c r="E7" s="151" t="n"/>
      <c r="F7" s="82" t="n"/>
      <c r="G7" s="152">
        <f>I53</f>
        <v/>
      </c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 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/>
      <c r="E13" s="159" t="n"/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/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 t="n">
        <v>0</v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>
        <v>0</v>
      </c>
      <c r="D16" s="167" t="n"/>
      <c r="E16" s="168" t="n"/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/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>
        <v>0</v>
      </c>
      <c r="D17" s="168" t="n"/>
      <c r="E17" s="168" t="n"/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/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>
        <v>0</v>
      </c>
      <c r="D18" s="167" t="n"/>
      <c r="E18" s="168" t="n"/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/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>
        <v>0</v>
      </c>
      <c r="D19" s="167" t="n"/>
      <c r="E19" s="168" t="n"/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/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>
        <v>0</v>
      </c>
      <c r="D20" s="168" t="n"/>
      <c r="E20" s="168" t="n"/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/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>
        <v>0</v>
      </c>
      <c r="D21" s="167" t="n"/>
      <c r="E21" s="168" t="n"/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/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>
        <v>0</v>
      </c>
      <c r="D22" s="168" t="n"/>
      <c r="E22" s="168" t="n"/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/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>
        <v>0</v>
      </c>
      <c r="D23" s="168" t="n"/>
      <c r="E23" s="168" t="n"/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/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>
        <v>0</v>
      </c>
      <c r="D24" s="175" t="n"/>
      <c r="E24" s="168" t="n"/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/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/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/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/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/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/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/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/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/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/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/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/>
      <c r="J48" s="27" t="n"/>
    </row>
    <row r="49">
      <c r="E49" s="203" t="n"/>
      <c r="F49" s="203" t="n"/>
      <c r="H49" s="27" t="inlineStr">
        <is>
          <t>D0038 - Frozen Foods</t>
        </is>
      </c>
      <c r="I49" s="189" t="n"/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tabSelected="1" topLeftCell="A10" workbookViewId="0">
      <selection activeCell="B25" sqref="B25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/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/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/>
    </row>
    <row r="7" ht="15" customHeight="1">
      <c r="A7" s="4" t="inlineStr">
        <is>
          <t>Prepared By:</t>
        </is>
      </c>
      <c r="B7" s="126" t="inlineStr">
        <is>
          <t>AD</t>
        </is>
      </c>
      <c r="C7" s="148" t="n"/>
      <c r="D7" s="109" t="inlineStr">
        <is>
          <t>Waste</t>
        </is>
      </c>
      <c r="E7" s="151" t="n"/>
      <c r="F7" s="82" t="n"/>
      <c r="G7" s="152">
        <f>I53</f>
        <v/>
      </c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20.10.18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/>
      <c r="E13" s="159" t="n"/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/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>
        <f>SUM(C16:C21)</f>
        <v/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/>
      <c r="D16" s="167" t="n"/>
      <c r="E16" s="168" t="n"/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/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/>
      <c r="D17" s="168" t="n"/>
      <c r="E17" s="168" t="n"/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/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/>
      <c r="D18" s="167" t="n"/>
      <c r="E18" s="168" t="n"/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/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/>
      <c r="D19" s="167" t="n"/>
      <c r="E19" s="168" t="n"/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/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/>
      <c r="D20" s="168" t="n"/>
      <c r="E20" s="168" t="n"/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/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/>
      <c r="D21" s="167" t="n"/>
      <c r="E21" s="168" t="n"/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/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/>
      <c r="D22" s="168" t="n"/>
      <c r="E22" s="168" t="n"/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/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/>
      <c r="D23" s="168" t="n"/>
      <c r="E23" s="168" t="n"/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/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/>
      <c r="D24" s="175" t="n"/>
      <c r="E24" s="168" t="n"/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/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/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/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/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/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/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/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/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/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/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/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/>
      <c r="J48" s="27" t="n"/>
    </row>
    <row r="49">
      <c r="E49" s="203" t="n"/>
      <c r="F49" s="203" t="n"/>
      <c r="H49" s="27" t="inlineStr">
        <is>
          <t>D0038 - Frozen Foods</t>
        </is>
      </c>
      <c r="I49" s="189" t="n"/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workbookViewId="0">
      <selection activeCell="A1" sqref="A1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>
        <v>301811.98</v>
      </c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>
        <v>274726.07099</v>
      </c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>
        <v>0.177878545796183</v>
      </c>
    </row>
    <row r="7" ht="15" customHeight="1">
      <c r="A7" s="4" t="inlineStr">
        <is>
          <t>Prepared By:</t>
        </is>
      </c>
      <c r="B7" s="126" t="inlineStr">
        <is>
          <t>AD</t>
        </is>
      </c>
      <c r="C7" s="148" t="n"/>
      <c r="D7" s="109" t="inlineStr">
        <is>
          <t>Waste</t>
        </is>
      </c>
      <c r="E7" s="151" t="n"/>
      <c r="F7" s="82" t="n"/>
      <c r="G7" s="152" t="n"/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20.10.18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/>
      <c r="E13" s="159" t="n">
        <v>10567.72368</v>
      </c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>
        <v>0.0939446876226423</v>
      </c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>
        <f>SUM(C16:C21)</f>
        <v/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>
        <v>7116.87</v>
      </c>
      <c r="D16" s="167" t="n">
        <v>6390.379999999999</v>
      </c>
      <c r="E16" s="168" t="n">
        <v>11743.72</v>
      </c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>
        <v>0.17537033495349</v>
      </c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>
        <v>665.49</v>
      </c>
      <c r="D17" s="168" t="n">
        <v>455.47</v>
      </c>
      <c r="E17" s="168" t="n">
        <v>1037.45</v>
      </c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>
        <v>0.237793522579401</v>
      </c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>
        <v>484.08</v>
      </c>
      <c r="D18" s="167" t="n">
        <v>669.78</v>
      </c>
      <c r="E18" s="168" t="n">
        <v>1128.82</v>
      </c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>
        <v>0.182388077815772</v>
      </c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>
        <v>1174.44</v>
      </c>
      <c r="D19" s="167" t="n">
        <v>758.1700000000001</v>
      </c>
      <c r="E19" s="168" t="n">
        <v>1082.51</v>
      </c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>
        <v>0.119882297340407</v>
      </c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>
        <v>2754.95</v>
      </c>
      <c r="D20" s="168" t="n">
        <v>3336.37</v>
      </c>
      <c r="E20" s="168" t="n">
        <v>8092.91</v>
      </c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>
        <v>0.161722302608085</v>
      </c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>
        <v>1105.76</v>
      </c>
      <c r="D21" s="167" t="n">
        <v>1063.48</v>
      </c>
      <c r="E21" s="168" t="n">
        <v>2271.51</v>
      </c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>
        <v>0.177538245484281</v>
      </c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>
        <v>8152.47</v>
      </c>
      <c r="D22" s="168" t="n"/>
      <c r="E22" s="168" t="n">
        <v>26297.1639</v>
      </c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>
        <v>0.1966209432189</v>
      </c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/>
      <c r="D23" s="168" t="n"/>
      <c r="E23" s="168" t="n">
        <v>10599.52164</v>
      </c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>
        <v>0.717072689289885</v>
      </c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>
        <v>24.18</v>
      </c>
      <c r="D24" s="175" t="n">
        <v>17.09</v>
      </c>
      <c r="E24" s="168" t="n">
        <v>18004.6</v>
      </c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>
        <v>0.217554569387823</v>
      </c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>
        <v>730.02</v>
      </c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/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/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>
        <v>14.7</v>
      </c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>
        <v>0</v>
      </c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>
        <v>191.24</v>
      </c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>
        <v>310.35</v>
      </c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>
        <v>769.73</v>
      </c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>
        <v>406.21</v>
      </c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>
        <v>481.83</v>
      </c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>
        <v>713.9300000000001</v>
      </c>
      <c r="J48" s="27" t="n"/>
    </row>
    <row r="49">
      <c r="E49" s="203" t="n"/>
      <c r="F49" s="203" t="n"/>
      <c r="H49" s="27" t="inlineStr">
        <is>
          <t>D0038 - Frozen Foods</t>
        </is>
      </c>
      <c r="I49" s="189" t="n">
        <v>2.49</v>
      </c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P&amp;L Build Log - Week Ending 2026-06-20</t>
        </is>
      </c>
    </row>
    <row r="2">
      <c r="A2" t="inlineStr">
        <is>
          <t>Downloaded STOCKTAKE: C:\Users\halpi\OneDrive\Desktop\PNL\exports\2026-06-20\stocktake\Stocktake_2026-06-20.xlsx</t>
        </is>
      </c>
    </row>
    <row r="3">
      <c r="A3" t="inlineStr">
        <is>
          <t>Downloaded OPR_STANDARD_WEEK: C:\Users\halpi\OneDrive\Desktop\PNL\exports\2026-06-20\opr_standard\OPR_Standard_WEEK_2026-06-20.xlsx</t>
        </is>
      </c>
    </row>
    <row r="4">
      <c r="A4" t="inlineStr">
        <is>
          <t>Downloaded OPR_STANDARD_SAT: C:\Users\halpi\OneDrive\Desktop\PNL\exports\2026-06-20\opr_standard\OPR_Standard_SAT_2026-06-20.xlsx</t>
        </is>
      </c>
    </row>
    <row r="5">
      <c r="A5" t="inlineStr">
        <is>
          <t>Downloaded OPR_MEAT_WEEK: C:\Users\halpi\OneDrive\Desktop\PNL\exports\2026-06-20\opr_meat\OPR_Meat_WEEK_2026-06-20.xlsx</t>
        </is>
      </c>
    </row>
    <row r="6">
      <c r="A6" t="inlineStr">
        <is>
          <t>Downloaded OPR_MEAT_SAT: C:\Users\halpi\OneDrive\Desktop\PNL\exports\2026-06-20\opr_meat\OPR_Meat_SAT_2026-06-20.xlsx</t>
        </is>
      </c>
    </row>
    <row r="7">
      <c r="A7" t="inlineStr">
        <is>
          <t>Downloaded WASTE_WEEK: C:\Users\halpi\OneDrive\Desktop\PNL\exports\2026-06-20\waste\Waste_WEEK_2026-06-20.xlsx</t>
        </is>
      </c>
    </row>
    <row r="8">
      <c r="A8" t="inlineStr">
        <is>
          <t>Downloaded WASTE_DAY: C:\Users\halpi\OneDrive\Desktop\PNL\exports\2026-06-20\waste\Waste_DAY_2026-06-20.xlsx</t>
        </is>
      </c>
    </row>
    <row r="10">
      <c r="A10" t="inlineStr">
        <is>
          <t>INFO: No Supabase key - purchases skipped</t>
        </is>
      </c>
    </row>
    <row r="11">
      <c r="A11" t="inlineStr">
        <is>
          <t>INFO: Previous week file: Managers_Report_we_2026-06-13-v2.xlsx</t>
        </is>
      </c>
    </row>
    <row r="12">
      <c r="A12" t="inlineStr">
        <is>
          <t>OK opening stock from Managers_Report_we_2026-06-13-v2.xlsx</t>
        </is>
      </c>
    </row>
    <row r="13">
      <c r="A13" t="inlineStr">
        <is>
          <t>OK OPR std SAT: Cigarettes = 10567.72 row 13</t>
        </is>
      </c>
    </row>
    <row r="14">
      <c r="A14" t="inlineStr">
        <is>
          <t>OK OPR std SAT: Produce = 26297.16 row 22</t>
        </is>
      </c>
    </row>
    <row r="15">
      <c r="A15" t="inlineStr">
        <is>
          <t>OK OPR std SAT: Deli = 10599.52 row 23</t>
        </is>
      </c>
    </row>
    <row r="16">
      <c r="A16" t="inlineStr">
        <is>
          <t>OK OPR std SAT: Provisions = 18004.60 row 24</t>
        </is>
      </c>
    </row>
    <row r="17">
      <c r="A17" t="inlineStr">
        <is>
          <t>OK OPR meat SAT: Beef = 11743.72 row 16</t>
        </is>
      </c>
    </row>
    <row r="18">
      <c r="A18" t="inlineStr">
        <is>
          <t>OK OPR meat SAT: Lamb = 1037.45 row 17</t>
        </is>
      </c>
    </row>
    <row r="19">
      <c r="A19" t="inlineStr">
        <is>
          <t>OK OPR meat SAT: Pork = 1128.82 row 18</t>
        </is>
      </c>
    </row>
    <row r="20">
      <c r="A20" t="inlineStr">
        <is>
          <t>OK OPR meat SAT: Bacon &amp; Loose S.R.P = 1082.51 row 19</t>
        </is>
      </c>
    </row>
    <row r="21">
      <c r="A21" t="inlineStr">
        <is>
          <t>OK OPR meat SAT: Poultry = 8092.91 row 20</t>
        </is>
      </c>
    </row>
    <row r="22">
      <c r="A22" t="inlineStr">
        <is>
          <t>OK OPR meat SAT: Fish = 2271.51 row 21</t>
        </is>
      </c>
    </row>
    <row r="23">
      <c r="A23" t="inlineStr">
        <is>
          <t>SKIP waste top-section: grocery_impulse row 30</t>
        </is>
      </c>
    </row>
    <row r="24">
      <c r="A24" t="inlineStr">
        <is>
          <t>SKIP waste top-section: grocery_edible row 31</t>
        </is>
      </c>
    </row>
    <row r="25">
      <c r="A25" t="inlineStr">
        <is>
          <t>SKIP waste top-section: grocery_non_food row 32</t>
        </is>
      </c>
    </row>
    <row r="26">
      <c r="A26" t="inlineStr">
        <is>
          <t>SKIP waste top-section: personal_care row 34</t>
        </is>
      </c>
    </row>
    <row r="27">
      <c r="A27" t="inlineStr">
        <is>
          <t>OK waste: Produce = 730.02 row 37</t>
        </is>
      </c>
    </row>
    <row r="28">
      <c r="A28" t="inlineStr">
        <is>
          <t>SKIP waste top-section: meat_total row 38</t>
        </is>
      </c>
    </row>
    <row r="29">
      <c r="A29" t="inlineStr">
        <is>
          <t>OK waste: dairy = 769.73 row 45</t>
        </is>
      </c>
    </row>
    <row r="30">
      <c r="A30" t="inlineStr">
        <is>
          <t>OK waste: bread_cakes = 406.21 row 46</t>
        </is>
      </c>
    </row>
    <row r="31">
      <c r="A31" t="inlineStr">
        <is>
          <t>OK waste: Deli = 481.83 row 47</t>
        </is>
      </c>
    </row>
    <row r="32">
      <c r="A32" t="inlineStr">
        <is>
          <t>OK waste: Provisions = 713.93 row 48</t>
        </is>
      </c>
    </row>
    <row r="33">
      <c r="A33" t="inlineStr">
        <is>
          <t>OK waste: frozen = 2.49 row 49</t>
        </is>
      </c>
    </row>
    <row r="34">
      <c r="A34" t="inlineStr">
        <is>
          <t>OK waste: Pork = 14.70 row 41</t>
        </is>
      </c>
    </row>
    <row r="35">
      <c r="A35" t="inlineStr">
        <is>
          <t>OK waste: Bacon = 0.00 row 42</t>
        </is>
      </c>
    </row>
    <row r="36">
      <c r="A36" t="inlineStr">
        <is>
          <t>OK waste: Poultry = 191.24 row 43</t>
        </is>
      </c>
    </row>
    <row r="37">
      <c r="A37" t="inlineStr">
        <is>
          <t>OK waste: Fish = 310.35 row 44</t>
        </is>
      </c>
    </row>
    <row r="38">
      <c r="A38" t="inlineStr">
        <is>
          <t>OK stocktake: Fish = 1063.48 row 21</t>
        </is>
      </c>
    </row>
    <row r="39">
      <c r="A39" t="inlineStr">
        <is>
          <t>OK stocktake: Bacon &amp; Loose S.R.P = 758.17 row 19</t>
        </is>
      </c>
    </row>
    <row r="40">
      <c r="A40" t="inlineStr">
        <is>
          <t>OK stocktake: Beef = 6390.38 row 16</t>
        </is>
      </c>
    </row>
    <row r="41">
      <c r="A41" t="inlineStr">
        <is>
          <t>OK stocktake: Lamb = 455.47 row 17</t>
        </is>
      </c>
    </row>
    <row r="42">
      <c r="A42" t="inlineStr">
        <is>
          <t>OK stocktake: Pork = 669.78 row 18</t>
        </is>
      </c>
    </row>
    <row r="43">
      <c r="A43" t="inlineStr">
        <is>
          <t>OK stocktake: Poultry = 3336.37 row 20</t>
        </is>
      </c>
    </row>
    <row r="44">
      <c r="A44" t="inlineStr">
        <is>
          <t>OK stocktake: Provisions = 17.09 row 24</t>
        </is>
      </c>
    </row>
    <row r="45">
      <c r="A45" t="inlineStr">
        <is>
          <t>OK sales inc vat G4: 301811.98</t>
        </is>
      </c>
    </row>
    <row r="46">
      <c r="A46" t="inlineStr">
        <is>
          <t>OK sales ex vat G5: 274726.07</t>
        </is>
      </c>
    </row>
    <row r="47">
      <c r="A47" t="inlineStr">
        <is>
          <t>OK margin G6: 0.1779</t>
        </is>
      </c>
    </row>
    <row r="48">
      <c r="A48" t="inlineStr">
        <is>
          <t>OK scan margin std row 13: 0.09</t>
        </is>
      </c>
    </row>
    <row r="49">
      <c r="A49" t="inlineStr">
        <is>
          <t>OK scan margin std row 22: 0.20</t>
        </is>
      </c>
    </row>
    <row r="50">
      <c r="A50" t="inlineStr">
        <is>
          <t>OK scan margin std row 23: 0.72</t>
        </is>
      </c>
    </row>
    <row r="51">
      <c r="A51" t="inlineStr">
        <is>
          <t>OK scan margin std row 24: 0.22</t>
        </is>
      </c>
    </row>
    <row r="52">
      <c r="A52" t="inlineStr">
        <is>
          <t>OK scan margin meat row 16: 0.18</t>
        </is>
      </c>
    </row>
    <row r="53">
      <c r="A53" t="inlineStr">
        <is>
          <t>OK scan margin meat row 17: 0.24</t>
        </is>
      </c>
    </row>
    <row r="54">
      <c r="A54" t="inlineStr">
        <is>
          <t>OK scan margin meat row 18: 0.18</t>
        </is>
      </c>
    </row>
    <row r="55">
      <c r="A55" t="inlineStr">
        <is>
          <t>OK scan margin meat row 19: 0.12</t>
        </is>
      </c>
    </row>
    <row r="56">
      <c r="A56" t="inlineStr">
        <is>
          <t>OK scan margin meat row 20: 0.16</t>
        </is>
      </c>
    </row>
    <row r="57">
      <c r="A57" t="inlineStr">
        <is>
          <t>OK scan margin meat row 21: 0.18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Authorised</dc:creator>
  <dcterms:created xsi:type="dcterms:W3CDTF">2007-10-03T18:12:54Z</dcterms:created>
  <dcterms:modified xsi:type="dcterms:W3CDTF">2026-06-25T10:59:26Z</dcterms:modified>
  <cp:lastModifiedBy>424SKERRIESAD Admin</cp:lastModifiedBy>
  <cp:lastPrinted>2018-11-01T09:39:59Z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0x010100A0BBBD93967A6540B09C066FA8927728</vt:lpwstr>
  </property>
</Properties>
</file>